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\Downloads\"/>
    </mc:Choice>
  </mc:AlternateContent>
  <xr:revisionPtr revIDLastSave="0" documentId="8_{F631796A-8C27-4F5B-B1E7-B7DA2134DC9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Toners_Prix" sheetId="1" r:id="rId1"/>
    <sheet name="Toner Stock" sheetId="12" r:id="rId2"/>
    <sheet name="Machines" sheetId="2" r:id="rId3"/>
    <sheet name="Mouvements_Sorties" sheetId="4" r:id="rId4"/>
    <sheet name="Feuil1" sheetId="11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2" l="1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38" i="1"/>
  <c r="D97" i="4"/>
  <c r="J97" i="4" s="1"/>
  <c r="B97" i="4"/>
  <c r="E97" i="4"/>
  <c r="D17" i="4"/>
  <c r="J17" i="4" s="1"/>
  <c r="B17" i="4"/>
  <c r="E17" i="4"/>
  <c r="B42" i="12"/>
  <c r="L42" i="12"/>
  <c r="B42" i="1"/>
  <c r="J42" i="1"/>
  <c r="D96" i="4"/>
  <c r="J96" i="4" s="1"/>
  <c r="D88" i="4"/>
  <c r="J88" i="4" s="1"/>
  <c r="D89" i="4"/>
  <c r="J89" i="4" s="1"/>
  <c r="D90" i="4"/>
  <c r="J90" i="4" s="1"/>
  <c r="D91" i="4"/>
  <c r="J91" i="4" s="1"/>
  <c r="D92" i="4"/>
  <c r="J92" i="4" s="1"/>
  <c r="D93" i="4"/>
  <c r="J93" i="4" s="1"/>
  <c r="D94" i="4"/>
  <c r="J94" i="4" s="1"/>
  <c r="D95" i="4"/>
  <c r="J95" i="4" s="1"/>
  <c r="D85" i="4"/>
  <c r="J85" i="4" s="1"/>
  <c r="D86" i="4"/>
  <c r="J86" i="4" s="1"/>
  <c r="D87" i="4"/>
  <c r="J87" i="4" s="1"/>
  <c r="D81" i="4"/>
  <c r="J81" i="4" s="1"/>
  <c r="D82" i="4"/>
  <c r="J82" i="4" s="1"/>
  <c r="D83" i="4"/>
  <c r="J83" i="4" s="1"/>
  <c r="D80" i="4"/>
  <c r="J80" i="4" s="1"/>
  <c r="D79" i="4"/>
  <c r="J79" i="4" s="1"/>
  <c r="D76" i="4"/>
  <c r="J76" i="4" s="1"/>
  <c r="D77" i="4"/>
  <c r="J77" i="4" s="1"/>
  <c r="D78" i="4"/>
  <c r="J78" i="4" s="1"/>
  <c r="D75" i="4"/>
  <c r="J75" i="4" s="1"/>
  <c r="D72" i="4"/>
  <c r="J72" i="4" s="1"/>
  <c r="D73" i="4"/>
  <c r="J73" i="4" s="1"/>
  <c r="D74" i="4"/>
  <c r="J74" i="4" s="1"/>
  <c r="D84" i="4"/>
  <c r="J84" i="4" s="1"/>
  <c r="D65" i="4"/>
  <c r="J65" i="4" s="1"/>
  <c r="D66" i="4"/>
  <c r="J66" i="4" s="1"/>
  <c r="D67" i="4"/>
  <c r="J67" i="4" s="1"/>
  <c r="D68" i="4"/>
  <c r="J68" i="4" s="1"/>
  <c r="D69" i="4"/>
  <c r="J69" i="4" s="1"/>
  <c r="D70" i="4"/>
  <c r="J70" i="4" s="1"/>
  <c r="D71" i="4"/>
  <c r="J71" i="4" s="1"/>
  <c r="D62" i="4"/>
  <c r="J62" i="4" s="1"/>
  <c r="D63" i="4"/>
  <c r="J63" i="4" s="1"/>
  <c r="D64" i="4"/>
  <c r="J64" i="4" s="1"/>
  <c r="D61" i="4"/>
  <c r="J61" i="4" s="1"/>
  <c r="D42" i="4"/>
  <c r="J42" i="4" s="1"/>
  <c r="D43" i="4"/>
  <c r="J43" i="4" s="1"/>
  <c r="D44" i="4"/>
  <c r="J44" i="4" s="1"/>
  <c r="D45" i="4"/>
  <c r="J45" i="4" s="1"/>
  <c r="D46" i="4"/>
  <c r="J46" i="4" s="1"/>
  <c r="D47" i="4"/>
  <c r="J47" i="4" s="1"/>
  <c r="D48" i="4"/>
  <c r="J48" i="4" s="1"/>
  <c r="D49" i="4"/>
  <c r="J49" i="4" s="1"/>
  <c r="D50" i="4"/>
  <c r="J50" i="4" s="1"/>
  <c r="D51" i="4"/>
  <c r="J51" i="4" s="1"/>
  <c r="D52" i="4"/>
  <c r="J52" i="4" s="1"/>
  <c r="D53" i="4"/>
  <c r="J53" i="4" s="1"/>
  <c r="D54" i="4"/>
  <c r="J54" i="4" s="1"/>
  <c r="D55" i="4"/>
  <c r="J55" i="4" s="1"/>
  <c r="D56" i="4"/>
  <c r="J56" i="4" s="1"/>
  <c r="D57" i="4"/>
  <c r="J57" i="4" s="1"/>
  <c r="D58" i="4"/>
  <c r="J58" i="4" s="1"/>
  <c r="D59" i="4"/>
  <c r="J59" i="4" s="1"/>
  <c r="D60" i="4"/>
  <c r="J60" i="4" s="1"/>
  <c r="D41" i="4"/>
  <c r="J41" i="4" s="1"/>
  <c r="D39" i="4"/>
  <c r="J39" i="4" s="1"/>
  <c r="D40" i="4"/>
  <c r="J40" i="4" s="1"/>
  <c r="D37" i="4"/>
  <c r="J37" i="4" s="1"/>
  <c r="D38" i="4"/>
  <c r="J38" i="4" s="1"/>
  <c r="D34" i="4"/>
  <c r="J34" i="4" s="1"/>
  <c r="D35" i="4"/>
  <c r="J35" i="4" s="1"/>
  <c r="D36" i="4"/>
  <c r="J36" i="4" s="1"/>
  <c r="D27" i="4"/>
  <c r="J27" i="4" s="1"/>
  <c r="D28" i="4"/>
  <c r="J28" i="4" s="1"/>
  <c r="D29" i="4"/>
  <c r="J29" i="4" s="1"/>
  <c r="D30" i="4"/>
  <c r="J30" i="4" s="1"/>
  <c r="D31" i="4"/>
  <c r="J31" i="4" s="1"/>
  <c r="D32" i="4"/>
  <c r="J32" i="4" s="1"/>
  <c r="D33" i="4"/>
  <c r="J33" i="4" s="1"/>
  <c r="D23" i="4"/>
  <c r="J23" i="4" s="1"/>
  <c r="D24" i="4"/>
  <c r="J24" i="4" s="1"/>
  <c r="D25" i="4"/>
  <c r="J25" i="4" s="1"/>
  <c r="D26" i="4"/>
  <c r="J26" i="4" s="1"/>
  <c r="D21" i="4"/>
  <c r="J21" i="4" s="1"/>
  <c r="D22" i="4"/>
  <c r="J22" i="4" s="1"/>
  <c r="D3" i="4"/>
  <c r="J3" i="4" s="1"/>
  <c r="D4" i="4"/>
  <c r="J4" i="4" s="1"/>
  <c r="D5" i="4"/>
  <c r="J5" i="4" s="1"/>
  <c r="D6" i="4"/>
  <c r="J6" i="4" s="1"/>
  <c r="D7" i="4"/>
  <c r="J7" i="4" s="1"/>
  <c r="D8" i="4"/>
  <c r="J8" i="4" s="1"/>
  <c r="D9" i="4"/>
  <c r="J9" i="4" s="1"/>
  <c r="D10" i="4"/>
  <c r="J10" i="4" s="1"/>
  <c r="D11" i="4"/>
  <c r="J11" i="4" s="1"/>
  <c r="D12" i="4"/>
  <c r="J12" i="4" s="1"/>
  <c r="D13" i="4"/>
  <c r="J13" i="4" s="1"/>
  <c r="D14" i="4"/>
  <c r="J14" i="4" s="1"/>
  <c r="D15" i="4"/>
  <c r="J15" i="4" s="1"/>
  <c r="D16" i="4"/>
  <c r="J16" i="4" s="1"/>
  <c r="D18" i="4"/>
  <c r="J18" i="4" s="1"/>
  <c r="D19" i="4"/>
  <c r="J19" i="4" s="1"/>
  <c r="D20" i="4"/>
  <c r="J20" i="4" s="1"/>
  <c r="D2" i="4"/>
  <c r="J2" i="4" s="1"/>
  <c r="L2" i="12"/>
  <c r="L3" i="12"/>
  <c r="L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L152" i="12"/>
  <c r="L153" i="12"/>
  <c r="L154" i="12"/>
  <c r="L155" i="12"/>
  <c r="L156" i="12"/>
  <c r="L157" i="12"/>
  <c r="L158" i="12"/>
  <c r="L159" i="12"/>
  <c r="L160" i="12"/>
  <c r="L161" i="12"/>
  <c r="L162" i="12"/>
  <c r="L163" i="12"/>
  <c r="L164" i="12"/>
  <c r="N80" i="12" l="1"/>
  <c r="N30" i="12"/>
  <c r="N28" i="12"/>
  <c r="N26" i="12"/>
  <c r="L165" i="12"/>
  <c r="B164" i="12"/>
  <c r="B163" i="12"/>
  <c r="B162" i="12"/>
  <c r="B161" i="12"/>
  <c r="B160" i="12"/>
  <c r="B159" i="12"/>
  <c r="B158" i="12"/>
  <c r="B157" i="12"/>
  <c r="B156" i="12"/>
  <c r="B155" i="12"/>
  <c r="B154" i="12"/>
  <c r="B153" i="12"/>
  <c r="B152" i="12"/>
  <c r="B151" i="12"/>
  <c r="B150" i="12"/>
  <c r="B149" i="12"/>
  <c r="B148" i="12"/>
  <c r="B147" i="12"/>
  <c r="B146" i="12"/>
  <c r="B145" i="12"/>
  <c r="B144" i="12"/>
  <c r="B143" i="12"/>
  <c r="B142" i="12"/>
  <c r="B141" i="12"/>
  <c r="B140" i="12"/>
  <c r="B139" i="12"/>
  <c r="B138" i="12"/>
  <c r="B137" i="12"/>
  <c r="B136" i="12"/>
  <c r="B135" i="12"/>
  <c r="B134" i="12"/>
  <c r="B133" i="12"/>
  <c r="B132" i="12"/>
  <c r="B131" i="12"/>
  <c r="B130" i="12"/>
  <c r="B129" i="12"/>
  <c r="B128" i="12"/>
  <c r="B127" i="12"/>
  <c r="B126" i="12"/>
  <c r="B125" i="12"/>
  <c r="B124" i="12"/>
  <c r="B123" i="12"/>
  <c r="B122" i="12"/>
  <c r="B121" i="12"/>
  <c r="B120" i="12"/>
  <c r="B119" i="12"/>
  <c r="B118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1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B2" i="12"/>
  <c r="J78" i="1"/>
  <c r="B78" i="1"/>
  <c r="J77" i="1"/>
  <c r="B77" i="1"/>
  <c r="J76" i="1"/>
  <c r="B76" i="1"/>
  <c r="J75" i="1"/>
  <c r="B75" i="1"/>
  <c r="J33" i="1"/>
  <c r="B33" i="1"/>
  <c r="J32" i="1"/>
  <c r="B32" i="1"/>
  <c r="J31" i="1"/>
  <c r="B31" i="1"/>
  <c r="J30" i="1"/>
  <c r="B30" i="1"/>
  <c r="J29" i="1"/>
  <c r="B29" i="1"/>
  <c r="J28" i="1"/>
  <c r="B28" i="1"/>
  <c r="J27" i="1"/>
  <c r="B27" i="1"/>
  <c r="J26" i="1"/>
  <c r="B26" i="1"/>
  <c r="J80" i="1"/>
  <c r="E3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8" i="4"/>
  <c r="B19" i="4"/>
  <c r="B20" i="4"/>
  <c r="B21" i="4"/>
  <c r="B22" i="4"/>
  <c r="E22" i="4"/>
  <c r="E2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8" i="4"/>
  <c r="E19" i="4"/>
  <c r="E20" i="4"/>
  <c r="E21" i="4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34" i="1"/>
  <c r="J35" i="1"/>
  <c r="J36" i="1"/>
  <c r="J37" i="1"/>
  <c r="J38" i="1"/>
  <c r="J39" i="1"/>
  <c r="J40" i="1"/>
  <c r="J41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9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40" i="1"/>
  <c r="J142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B136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7" i="1"/>
  <c r="B138" i="1"/>
  <c r="B139" i="1"/>
  <c r="B140" i="1"/>
  <c r="B141" i="1"/>
  <c r="B142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34" i="1"/>
  <c r="B35" i="1"/>
  <c r="B36" i="1"/>
  <c r="B37" i="1"/>
  <c r="B38" i="1"/>
  <c r="B39" i="1"/>
  <c r="B40" i="1"/>
  <c r="B41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3" i="1"/>
  <c r="B2" i="1"/>
  <c r="K17" i="4" l="1"/>
  <c r="L17" i="4" s="1"/>
  <c r="K97" i="4"/>
  <c r="L97" i="4" s="1"/>
  <c r="N42" i="12"/>
  <c r="O42" i="12" s="1"/>
  <c r="P42" i="12" s="1"/>
  <c r="K37" i="4"/>
  <c r="K38" i="4"/>
  <c r="K35" i="4"/>
  <c r="K34" i="4"/>
  <c r="K36" i="4"/>
  <c r="K64" i="4"/>
  <c r="K63" i="4"/>
  <c r="K39" i="4"/>
  <c r="K74" i="4"/>
  <c r="L74" i="4" s="1"/>
  <c r="K73" i="4"/>
  <c r="L73" i="4" s="1"/>
  <c r="N12" i="12"/>
  <c r="O12" i="12" s="1"/>
  <c r="P12" i="12" s="1"/>
  <c r="N24" i="12"/>
  <c r="O24" i="12" s="1"/>
  <c r="P24" i="12" s="1"/>
  <c r="N36" i="12"/>
  <c r="O36" i="12" s="1"/>
  <c r="P36" i="12" s="1"/>
  <c r="N49" i="12"/>
  <c r="O49" i="12" s="1"/>
  <c r="P49" i="12" s="1"/>
  <c r="N55" i="12"/>
  <c r="O55" i="12" s="1"/>
  <c r="P55" i="12" s="1"/>
  <c r="N67" i="12"/>
  <c r="O67" i="12" s="1"/>
  <c r="P67" i="12" s="1"/>
  <c r="N73" i="12"/>
  <c r="O73" i="12" s="1"/>
  <c r="P73" i="12" s="1"/>
  <c r="N81" i="12"/>
  <c r="O81" i="12" s="1"/>
  <c r="P81" i="12" s="1"/>
  <c r="N87" i="12"/>
  <c r="O87" i="12" s="1"/>
  <c r="P87" i="12" s="1"/>
  <c r="N93" i="12"/>
  <c r="O93" i="12" s="1"/>
  <c r="P93" i="12" s="1"/>
  <c r="N99" i="12"/>
  <c r="O99" i="12" s="1"/>
  <c r="P99" i="12" s="1"/>
  <c r="N105" i="12"/>
  <c r="O105" i="12" s="1"/>
  <c r="P105" i="12" s="1"/>
  <c r="N111" i="12"/>
  <c r="O111" i="12" s="1"/>
  <c r="P111" i="12" s="1"/>
  <c r="N117" i="12"/>
  <c r="O117" i="12" s="1"/>
  <c r="P117" i="12" s="1"/>
  <c r="N123" i="12"/>
  <c r="O123" i="12" s="1"/>
  <c r="P123" i="12" s="1"/>
  <c r="N129" i="12"/>
  <c r="O129" i="12" s="1"/>
  <c r="P129" i="12" s="1"/>
  <c r="N135" i="12"/>
  <c r="O135" i="12" s="1"/>
  <c r="P135" i="12" s="1"/>
  <c r="N11" i="12"/>
  <c r="O11" i="12" s="1"/>
  <c r="P11" i="12" s="1"/>
  <c r="N6" i="12"/>
  <c r="O6" i="12" s="1"/>
  <c r="P6" i="12" s="1"/>
  <c r="N18" i="12"/>
  <c r="O18" i="12" s="1"/>
  <c r="P18" i="12" s="1"/>
  <c r="O30" i="12"/>
  <c r="P30" i="12" s="1"/>
  <c r="N43" i="12"/>
  <c r="O43" i="12" s="1"/>
  <c r="P43" i="12" s="1"/>
  <c r="N61" i="12"/>
  <c r="O61" i="12" s="1"/>
  <c r="P61" i="12" s="1"/>
  <c r="N75" i="12"/>
  <c r="O75" i="12" s="1"/>
  <c r="P75" i="12" s="1"/>
  <c r="N143" i="12"/>
  <c r="O143" i="12" s="1"/>
  <c r="P143" i="12" s="1"/>
  <c r="N149" i="12"/>
  <c r="O149" i="12" s="1"/>
  <c r="P149" i="12" s="1"/>
  <c r="N155" i="12"/>
  <c r="O155" i="12" s="1"/>
  <c r="P155" i="12" s="1"/>
  <c r="N161" i="12"/>
  <c r="O161" i="12" s="1"/>
  <c r="P161" i="12" s="1"/>
  <c r="N5" i="12"/>
  <c r="O5" i="12" s="1"/>
  <c r="P5" i="12" s="1"/>
  <c r="N154" i="12"/>
  <c r="O154" i="12" s="1"/>
  <c r="P154" i="12" s="1"/>
  <c r="N7" i="12"/>
  <c r="O7" i="12" s="1"/>
  <c r="P7" i="12" s="1"/>
  <c r="N19" i="12"/>
  <c r="O19" i="12" s="1"/>
  <c r="P19" i="12" s="1"/>
  <c r="N31" i="12"/>
  <c r="O31" i="12" s="1"/>
  <c r="P31" i="12" s="1"/>
  <c r="N44" i="12"/>
  <c r="O44" i="12" s="1"/>
  <c r="P44" i="12" s="1"/>
  <c r="N56" i="12"/>
  <c r="O56" i="12" s="1"/>
  <c r="P56" i="12" s="1"/>
  <c r="N68" i="12"/>
  <c r="O68" i="12" s="1"/>
  <c r="P68" i="12" s="1"/>
  <c r="N76" i="12"/>
  <c r="O76" i="12" s="1"/>
  <c r="P76" i="12" s="1"/>
  <c r="N88" i="12"/>
  <c r="O88" i="12" s="1"/>
  <c r="P88" i="12" s="1"/>
  <c r="N94" i="12"/>
  <c r="O94" i="12" s="1"/>
  <c r="P94" i="12" s="1"/>
  <c r="N106" i="12"/>
  <c r="O106" i="12" s="1"/>
  <c r="P106" i="12" s="1"/>
  <c r="N112" i="12"/>
  <c r="O112" i="12" s="1"/>
  <c r="P112" i="12" s="1"/>
  <c r="N118" i="12"/>
  <c r="O118" i="12" s="1"/>
  <c r="P118" i="12" s="1"/>
  <c r="N124" i="12"/>
  <c r="O124" i="12" s="1"/>
  <c r="P124" i="12" s="1"/>
  <c r="N130" i="12"/>
  <c r="O130" i="12" s="1"/>
  <c r="P130" i="12" s="1"/>
  <c r="N136" i="12"/>
  <c r="O136" i="12" s="1"/>
  <c r="P136" i="12" s="1"/>
  <c r="N17" i="12"/>
  <c r="O17" i="12" s="1"/>
  <c r="P17" i="12" s="1"/>
  <c r="N160" i="12"/>
  <c r="O160" i="12" s="1"/>
  <c r="P160" i="12" s="1"/>
  <c r="N13" i="12"/>
  <c r="O13" i="12" s="1"/>
  <c r="P13" i="12" s="1"/>
  <c r="N25" i="12"/>
  <c r="O25" i="12" s="1"/>
  <c r="P25" i="12" s="1"/>
  <c r="N37" i="12"/>
  <c r="O37" i="12" s="1"/>
  <c r="P37" i="12" s="1"/>
  <c r="N50" i="12"/>
  <c r="O50" i="12" s="1"/>
  <c r="P50" i="12" s="1"/>
  <c r="N62" i="12"/>
  <c r="O62" i="12" s="1"/>
  <c r="P62" i="12" s="1"/>
  <c r="N74" i="12"/>
  <c r="O74" i="12" s="1"/>
  <c r="P74" i="12" s="1"/>
  <c r="N82" i="12"/>
  <c r="O82" i="12" s="1"/>
  <c r="P82" i="12" s="1"/>
  <c r="N100" i="12"/>
  <c r="O100" i="12" s="1"/>
  <c r="P100" i="12" s="1"/>
  <c r="N144" i="12"/>
  <c r="O144" i="12" s="1"/>
  <c r="P144" i="12" s="1"/>
  <c r="N150" i="12"/>
  <c r="O150" i="12" s="1"/>
  <c r="P150" i="12" s="1"/>
  <c r="N156" i="12"/>
  <c r="O156" i="12" s="1"/>
  <c r="P156" i="12" s="1"/>
  <c r="N162" i="12"/>
  <c r="O162" i="12" s="1"/>
  <c r="P162" i="12" s="1"/>
  <c r="N148" i="12"/>
  <c r="O148" i="12" s="1"/>
  <c r="P148" i="12" s="1"/>
  <c r="N14" i="12"/>
  <c r="O14" i="12" s="1"/>
  <c r="P14" i="12" s="1"/>
  <c r="O26" i="12"/>
  <c r="P26" i="12" s="1"/>
  <c r="N38" i="12"/>
  <c r="O38" i="12" s="1"/>
  <c r="P38" i="12" s="1"/>
  <c r="N51" i="12"/>
  <c r="O51" i="12" s="1"/>
  <c r="P51" i="12" s="1"/>
  <c r="N63" i="12"/>
  <c r="O63" i="12" s="1"/>
  <c r="P63" i="12" s="1"/>
  <c r="N83" i="12"/>
  <c r="O83" i="12" s="1"/>
  <c r="P83" i="12" s="1"/>
  <c r="N95" i="12"/>
  <c r="O95" i="12" s="1"/>
  <c r="P95" i="12" s="1"/>
  <c r="N101" i="12"/>
  <c r="O101" i="12" s="1"/>
  <c r="P101" i="12" s="1"/>
  <c r="N113" i="12"/>
  <c r="O113" i="12" s="1"/>
  <c r="P113" i="12" s="1"/>
  <c r="N119" i="12"/>
  <c r="O119" i="12" s="1"/>
  <c r="P119" i="12" s="1"/>
  <c r="N125" i="12"/>
  <c r="O125" i="12" s="1"/>
  <c r="P125" i="12" s="1"/>
  <c r="N131" i="12"/>
  <c r="O131" i="12" s="1"/>
  <c r="P131" i="12" s="1"/>
  <c r="N137" i="12"/>
  <c r="O137" i="12" s="1"/>
  <c r="P137" i="12" s="1"/>
  <c r="N8" i="12"/>
  <c r="O8" i="12" s="1"/>
  <c r="P8" i="12" s="1"/>
  <c r="N20" i="12"/>
  <c r="O20" i="12" s="1"/>
  <c r="P20" i="12" s="1"/>
  <c r="N32" i="12"/>
  <c r="O32" i="12" s="1"/>
  <c r="P32" i="12" s="1"/>
  <c r="N45" i="12"/>
  <c r="O45" i="12" s="1"/>
  <c r="P45" i="12" s="1"/>
  <c r="N57" i="12"/>
  <c r="O57" i="12" s="1"/>
  <c r="P57" i="12" s="1"/>
  <c r="N69" i="12"/>
  <c r="O69" i="12" s="1"/>
  <c r="P69" i="12" s="1"/>
  <c r="N77" i="12"/>
  <c r="O77" i="12" s="1"/>
  <c r="P77" i="12" s="1"/>
  <c r="N89" i="12"/>
  <c r="O89" i="12" s="1"/>
  <c r="P89" i="12" s="1"/>
  <c r="N107" i="12"/>
  <c r="O107" i="12" s="1"/>
  <c r="P107" i="12" s="1"/>
  <c r="N145" i="12"/>
  <c r="O145" i="12" s="1"/>
  <c r="P145" i="12" s="1"/>
  <c r="N151" i="12"/>
  <c r="O151" i="12" s="1"/>
  <c r="P151" i="12" s="1"/>
  <c r="N157" i="12"/>
  <c r="O157" i="12" s="1"/>
  <c r="P157" i="12" s="1"/>
  <c r="N163" i="12"/>
  <c r="O163" i="12" s="1"/>
  <c r="P163" i="12" s="1"/>
  <c r="N29" i="12"/>
  <c r="O29" i="12" s="1"/>
  <c r="P29" i="12" s="1"/>
  <c r="N2" i="12"/>
  <c r="O2" i="12" s="1"/>
  <c r="P2" i="12" s="1"/>
  <c r="N3" i="12"/>
  <c r="O3" i="12" s="1"/>
  <c r="P3" i="12" s="1"/>
  <c r="N15" i="12"/>
  <c r="O15" i="12" s="1"/>
  <c r="P15" i="12" s="1"/>
  <c r="N27" i="12"/>
  <c r="O27" i="12" s="1"/>
  <c r="P27" i="12" s="1"/>
  <c r="N39" i="12"/>
  <c r="O39" i="12" s="1"/>
  <c r="P39" i="12" s="1"/>
  <c r="N52" i="12"/>
  <c r="O52" i="12" s="1"/>
  <c r="P52" i="12" s="1"/>
  <c r="N64" i="12"/>
  <c r="O64" i="12" s="1"/>
  <c r="P64" i="12" s="1"/>
  <c r="N78" i="12"/>
  <c r="O78" i="12" s="1"/>
  <c r="P78" i="12" s="1"/>
  <c r="N90" i="12"/>
  <c r="O90" i="12" s="1"/>
  <c r="P90" i="12" s="1"/>
  <c r="N96" i="12"/>
  <c r="O96" i="12" s="1"/>
  <c r="P96" i="12" s="1"/>
  <c r="N102" i="12"/>
  <c r="O102" i="12" s="1"/>
  <c r="P102" i="12" s="1"/>
  <c r="N108" i="12"/>
  <c r="O108" i="12" s="1"/>
  <c r="P108" i="12" s="1"/>
  <c r="N114" i="12"/>
  <c r="O114" i="12" s="1"/>
  <c r="P114" i="12" s="1"/>
  <c r="N120" i="12"/>
  <c r="O120" i="12" s="1"/>
  <c r="P120" i="12" s="1"/>
  <c r="N126" i="12"/>
  <c r="O126" i="12" s="1"/>
  <c r="P126" i="12" s="1"/>
  <c r="N132" i="12"/>
  <c r="O132" i="12" s="1"/>
  <c r="P132" i="12" s="1"/>
  <c r="N138" i="12"/>
  <c r="O138" i="12" s="1"/>
  <c r="P138" i="12" s="1"/>
  <c r="N23" i="12"/>
  <c r="O23" i="12" s="1"/>
  <c r="P23" i="12" s="1"/>
  <c r="N9" i="12"/>
  <c r="O9" i="12" s="1"/>
  <c r="P9" i="12" s="1"/>
  <c r="N21" i="12"/>
  <c r="O21" i="12" s="1"/>
  <c r="P21" i="12" s="1"/>
  <c r="N33" i="12"/>
  <c r="O33" i="12" s="1"/>
  <c r="P33" i="12" s="1"/>
  <c r="N46" i="12"/>
  <c r="O46" i="12" s="1"/>
  <c r="P46" i="12" s="1"/>
  <c r="N58" i="12"/>
  <c r="O58" i="12" s="1"/>
  <c r="P58" i="12" s="1"/>
  <c r="N70" i="12"/>
  <c r="O70" i="12" s="1"/>
  <c r="P70" i="12" s="1"/>
  <c r="N84" i="12"/>
  <c r="O84" i="12" s="1"/>
  <c r="P84" i="12" s="1"/>
  <c r="N146" i="12"/>
  <c r="O146" i="12" s="1"/>
  <c r="P146" i="12" s="1"/>
  <c r="N152" i="12"/>
  <c r="O152" i="12" s="1"/>
  <c r="P152" i="12" s="1"/>
  <c r="N158" i="12"/>
  <c r="O158" i="12" s="1"/>
  <c r="P158" i="12" s="1"/>
  <c r="N164" i="12"/>
  <c r="O164" i="12" s="1"/>
  <c r="P164" i="12" s="1"/>
  <c r="N10" i="12"/>
  <c r="O10" i="12" s="1"/>
  <c r="P10" i="12" s="1"/>
  <c r="N22" i="12"/>
  <c r="O22" i="12" s="1"/>
  <c r="P22" i="12" s="1"/>
  <c r="N34" i="12"/>
  <c r="O34" i="12" s="1"/>
  <c r="P34" i="12" s="1"/>
  <c r="N47" i="12"/>
  <c r="O47" i="12" s="1"/>
  <c r="P47" i="12" s="1"/>
  <c r="N59" i="12"/>
  <c r="O59" i="12" s="1"/>
  <c r="P59" i="12" s="1"/>
  <c r="N71" i="12"/>
  <c r="O71" i="12" s="1"/>
  <c r="P71" i="12" s="1"/>
  <c r="N85" i="12"/>
  <c r="O85" i="12" s="1"/>
  <c r="P85" i="12" s="1"/>
  <c r="N91" i="12"/>
  <c r="O91" i="12" s="1"/>
  <c r="P91" i="12" s="1"/>
  <c r="N97" i="12"/>
  <c r="O97" i="12" s="1"/>
  <c r="P97" i="12" s="1"/>
  <c r="N103" i="12"/>
  <c r="O103" i="12" s="1"/>
  <c r="P103" i="12" s="1"/>
  <c r="N109" i="12"/>
  <c r="O109" i="12" s="1"/>
  <c r="P109" i="12" s="1"/>
  <c r="N115" i="12"/>
  <c r="O115" i="12" s="1"/>
  <c r="P115" i="12" s="1"/>
  <c r="N121" i="12"/>
  <c r="O121" i="12" s="1"/>
  <c r="P121" i="12" s="1"/>
  <c r="N127" i="12"/>
  <c r="O127" i="12" s="1"/>
  <c r="P127" i="12" s="1"/>
  <c r="N133" i="12"/>
  <c r="O133" i="12" s="1"/>
  <c r="P133" i="12" s="1"/>
  <c r="N142" i="12"/>
  <c r="O142" i="12" s="1"/>
  <c r="P142" i="12" s="1"/>
  <c r="N4" i="12"/>
  <c r="O4" i="12" s="1"/>
  <c r="P4" i="12" s="1"/>
  <c r="N16" i="12"/>
  <c r="O16" i="12" s="1"/>
  <c r="P16" i="12" s="1"/>
  <c r="O28" i="12"/>
  <c r="P28" i="12" s="1"/>
  <c r="N40" i="12"/>
  <c r="O40" i="12" s="1"/>
  <c r="P40" i="12" s="1"/>
  <c r="N53" i="12"/>
  <c r="O53" i="12" s="1"/>
  <c r="P53" i="12" s="1"/>
  <c r="N65" i="12"/>
  <c r="O65" i="12" s="1"/>
  <c r="P65" i="12" s="1"/>
  <c r="N79" i="12"/>
  <c r="O79" i="12" s="1"/>
  <c r="P79" i="12" s="1"/>
  <c r="N141" i="12"/>
  <c r="O141" i="12" s="1"/>
  <c r="P141" i="12" s="1"/>
  <c r="N140" i="12"/>
  <c r="O140" i="12" s="1"/>
  <c r="P140" i="12" s="1"/>
  <c r="N139" i="12"/>
  <c r="O139" i="12" s="1"/>
  <c r="P139" i="12" s="1"/>
  <c r="N147" i="12"/>
  <c r="O147" i="12" s="1"/>
  <c r="P147" i="12" s="1"/>
  <c r="N153" i="12"/>
  <c r="O153" i="12" s="1"/>
  <c r="P153" i="12" s="1"/>
  <c r="N159" i="12"/>
  <c r="O159" i="12" s="1"/>
  <c r="P159" i="12" s="1"/>
  <c r="N35" i="12"/>
  <c r="O35" i="12" s="1"/>
  <c r="P35" i="12" s="1"/>
  <c r="N41" i="12"/>
  <c r="O41" i="12" s="1"/>
  <c r="P41" i="12" s="1"/>
  <c r="N48" i="12"/>
  <c r="O48" i="12" s="1"/>
  <c r="P48" i="12" s="1"/>
  <c r="N54" i="12"/>
  <c r="O54" i="12" s="1"/>
  <c r="P54" i="12" s="1"/>
  <c r="N60" i="12"/>
  <c r="O60" i="12" s="1"/>
  <c r="P60" i="12" s="1"/>
  <c r="N66" i="12"/>
  <c r="O66" i="12" s="1"/>
  <c r="P66" i="12" s="1"/>
  <c r="N72" i="12"/>
  <c r="O72" i="12" s="1"/>
  <c r="P72" i="12" s="1"/>
  <c r="O80" i="12"/>
  <c r="P80" i="12" s="1"/>
  <c r="N86" i="12"/>
  <c r="O86" i="12" s="1"/>
  <c r="P86" i="12" s="1"/>
  <c r="N92" i="12"/>
  <c r="O92" i="12" s="1"/>
  <c r="P92" i="12" s="1"/>
  <c r="N98" i="12"/>
  <c r="O98" i="12" s="1"/>
  <c r="P98" i="12" s="1"/>
  <c r="N104" i="12"/>
  <c r="O104" i="12" s="1"/>
  <c r="P104" i="12" s="1"/>
  <c r="N110" i="12"/>
  <c r="O110" i="12" s="1"/>
  <c r="P110" i="12" s="1"/>
  <c r="N116" i="12"/>
  <c r="O116" i="12" s="1"/>
  <c r="P116" i="12" s="1"/>
  <c r="N122" i="12"/>
  <c r="O122" i="12" s="1"/>
  <c r="P122" i="12" s="1"/>
  <c r="N128" i="12"/>
  <c r="O128" i="12" s="1"/>
  <c r="P128" i="12" s="1"/>
  <c r="N134" i="12"/>
  <c r="O134" i="12" s="1"/>
  <c r="P134" i="12" s="1"/>
  <c r="B143" i="1"/>
  <c r="P165" i="12" l="1"/>
  <c r="J141" i="1"/>
  <c r="K4" i="4" l="1"/>
  <c r="L4" i="4" s="1"/>
  <c r="L36" i="4"/>
  <c r="L64" i="4"/>
  <c r="K84" i="4"/>
  <c r="L84" i="4" s="1"/>
  <c r="K20" i="4"/>
  <c r="L20" i="4" s="1"/>
  <c r="K76" i="4"/>
  <c r="L76" i="4" s="1"/>
  <c r="L35" i="4"/>
  <c r="L63" i="4"/>
  <c r="K91" i="4"/>
  <c r="L91" i="4" s="1"/>
  <c r="K31" i="4"/>
  <c r="L31" i="4" s="1"/>
  <c r="K67" i="4"/>
  <c r="L67" i="4" s="1"/>
  <c r="K72" i="4"/>
  <c r="L72" i="4" s="1"/>
  <c r="K18" i="4"/>
  <c r="L18" i="4" s="1"/>
  <c r="K90" i="4"/>
  <c r="L90" i="4" s="1"/>
  <c r="K58" i="4"/>
  <c r="L58" i="4" s="1"/>
  <c r="K42" i="4"/>
  <c r="L42" i="4" s="1"/>
  <c r="K26" i="4"/>
  <c r="L26" i="4" s="1"/>
  <c r="K8" i="4"/>
  <c r="L8" i="4" s="1"/>
  <c r="K81" i="4"/>
  <c r="L81" i="4" s="1"/>
  <c r="K65" i="4"/>
  <c r="L65" i="4" s="1"/>
  <c r="K49" i="4"/>
  <c r="L49" i="4" s="1"/>
  <c r="K33" i="4"/>
  <c r="L33" i="4" s="1"/>
  <c r="K6" i="4"/>
  <c r="L6" i="4" s="1"/>
  <c r="K11" i="4"/>
  <c r="L11" i="4" s="1"/>
  <c r="K44" i="4"/>
  <c r="L44" i="4" s="1"/>
  <c r="K75" i="4"/>
  <c r="L75" i="4" s="1"/>
  <c r="K87" i="4"/>
  <c r="L87" i="4" s="1"/>
  <c r="K14" i="4"/>
  <c r="L14" i="4" s="1"/>
  <c r="K9" i="4"/>
  <c r="L9" i="4" s="1"/>
  <c r="K82" i="4"/>
  <c r="L82" i="4" s="1"/>
  <c r="K50" i="4"/>
  <c r="L50" i="4" s="1"/>
  <c r="L34" i="4"/>
  <c r="K89" i="4"/>
  <c r="L89" i="4" s="1"/>
  <c r="K57" i="4"/>
  <c r="L57" i="4" s="1"/>
  <c r="K80" i="4"/>
  <c r="L80" i="4" s="1"/>
  <c r="K27" i="4"/>
  <c r="L27" i="4" s="1"/>
  <c r="K95" i="4"/>
  <c r="L95" i="4" s="1"/>
  <c r="K88" i="4"/>
  <c r="L88" i="4" s="1"/>
  <c r="K62" i="4"/>
  <c r="L62" i="4" s="1"/>
  <c r="K12" i="4"/>
  <c r="L12" i="4" s="1"/>
  <c r="K53" i="4"/>
  <c r="L53" i="4" s="1"/>
  <c r="K3" i="4"/>
  <c r="L3" i="4" s="1"/>
  <c r="K68" i="4"/>
  <c r="L68" i="4" s="1"/>
  <c r="K28" i="4"/>
  <c r="L28" i="4" s="1"/>
  <c r="K32" i="4"/>
  <c r="L32" i="4" s="1"/>
  <c r="K52" i="4"/>
  <c r="L52" i="4" s="1"/>
  <c r="K15" i="4"/>
  <c r="L15" i="4" s="1"/>
  <c r="K60" i="4"/>
  <c r="L60" i="4" s="1"/>
  <c r="L39" i="4"/>
  <c r="K71" i="4"/>
  <c r="L71" i="4" s="1"/>
  <c r="K43" i="4"/>
  <c r="L43" i="4" s="1"/>
  <c r="K79" i="4"/>
  <c r="L79" i="4" s="1"/>
  <c r="K19" i="4"/>
  <c r="L19" i="4" s="1"/>
  <c r="K56" i="4"/>
  <c r="L56" i="4" s="1"/>
  <c r="K13" i="4"/>
  <c r="L13" i="4" s="1"/>
  <c r="K86" i="4"/>
  <c r="L86" i="4" s="1"/>
  <c r="K70" i="4"/>
  <c r="L70" i="4" s="1"/>
  <c r="K54" i="4"/>
  <c r="L54" i="4" s="1"/>
  <c r="L38" i="4"/>
  <c r="K21" i="4"/>
  <c r="L21" i="4" s="1"/>
  <c r="K93" i="4"/>
  <c r="L93" i="4" s="1"/>
  <c r="K77" i="4"/>
  <c r="L77" i="4" s="1"/>
  <c r="K61" i="4"/>
  <c r="L61" i="4" s="1"/>
  <c r="K45" i="4"/>
  <c r="L45" i="4" s="1"/>
  <c r="K29" i="4"/>
  <c r="L29" i="4" s="1"/>
  <c r="K48" i="4"/>
  <c r="L48" i="4" s="1"/>
  <c r="K25" i="4"/>
  <c r="L25" i="4" s="1"/>
  <c r="K47" i="4"/>
  <c r="L47" i="4" s="1"/>
  <c r="K51" i="4"/>
  <c r="L51" i="4" s="1"/>
  <c r="K40" i="4"/>
  <c r="L40" i="4" s="1"/>
  <c r="K66" i="4"/>
  <c r="L66" i="4" s="1"/>
  <c r="K41" i="4"/>
  <c r="L41" i="4" s="1"/>
  <c r="K96" i="4"/>
  <c r="L96" i="4" s="1"/>
  <c r="K7" i="4"/>
  <c r="L7" i="4" s="1"/>
  <c r="K55" i="4"/>
  <c r="L55" i="4" s="1"/>
  <c r="K23" i="4"/>
  <c r="L23" i="4" s="1"/>
  <c r="K24" i="4"/>
  <c r="L24" i="4" s="1"/>
  <c r="K78" i="4"/>
  <c r="L78" i="4" s="1"/>
  <c r="K30" i="4"/>
  <c r="L30" i="4" s="1"/>
  <c r="K69" i="4"/>
  <c r="L69" i="4" s="1"/>
  <c r="K16" i="4"/>
  <c r="L16" i="4" s="1"/>
  <c r="K2" i="4"/>
  <c r="L2" i="4" s="1"/>
  <c r="K92" i="4"/>
  <c r="L92" i="4" s="1"/>
  <c r="K83" i="4"/>
  <c r="L83" i="4" s="1"/>
  <c r="K59" i="4"/>
  <c r="L59" i="4" s="1"/>
  <c r="K10" i="4"/>
  <c r="L10" i="4" s="1"/>
  <c r="K22" i="4"/>
  <c r="L22" i="4" s="1"/>
  <c r="K94" i="4"/>
  <c r="L94" i="4" s="1"/>
  <c r="K46" i="4"/>
  <c r="L46" i="4" s="1"/>
  <c r="K85" i="4"/>
  <c r="L85" i="4" s="1"/>
  <c r="L37" i="4"/>
  <c r="I140" i="1"/>
  <c r="K5" i="4"/>
  <c r="L5" i="4" s="1"/>
</calcChain>
</file>

<file path=xl/sharedStrings.xml><?xml version="1.0" encoding="utf-8"?>
<sst xmlns="http://schemas.openxmlformats.org/spreadsheetml/2006/main" count="2792" uniqueCount="520">
  <si>
    <t>Clé (Ref|Type)</t>
  </si>
  <si>
    <t>Type (Original/Compatible)</t>
  </si>
  <si>
    <t>Fournisseur</t>
  </si>
  <si>
    <t>Prix achat HT</t>
  </si>
  <si>
    <t>Original</t>
  </si>
  <si>
    <t>Compatible</t>
  </si>
  <si>
    <t>ID_Machine</t>
  </si>
  <si>
    <t>Client</t>
  </si>
  <si>
    <t>Site</t>
  </si>
  <si>
    <t>Modèle</t>
  </si>
  <si>
    <t>W534404612</t>
  </si>
  <si>
    <t>91 DEGRES AVOCATS</t>
  </si>
  <si>
    <t>MF3555</t>
  </si>
  <si>
    <t>506</t>
  </si>
  <si>
    <t>V7C6Z05511</t>
  </si>
  <si>
    <t>A2C</t>
  </si>
  <si>
    <t>501</t>
  </si>
  <si>
    <t>AAJP121208023</t>
  </si>
  <si>
    <t>ADEX</t>
  </si>
  <si>
    <t>503</t>
  </si>
  <si>
    <t>VE51470481</t>
  </si>
  <si>
    <t>RVF3Y59321</t>
  </si>
  <si>
    <t>APESUD</t>
  </si>
  <si>
    <t>509</t>
  </si>
  <si>
    <t>RF80712853</t>
  </si>
  <si>
    <t>AAJR127000122</t>
  </si>
  <si>
    <t>ACVD121006023</t>
  </si>
  <si>
    <t>APIJE</t>
  </si>
  <si>
    <t>510</t>
  </si>
  <si>
    <t>ACVD121005594</t>
  </si>
  <si>
    <t>ACVD121006107</t>
  </si>
  <si>
    <t>ACVD121006169</t>
  </si>
  <si>
    <t>ACVD121006343</t>
  </si>
  <si>
    <t>ACVD121006386</t>
  </si>
  <si>
    <t>ACVD121004331</t>
  </si>
  <si>
    <t>W532702385</t>
  </si>
  <si>
    <t>ACVD121004160</t>
  </si>
  <si>
    <t>AAJP121206158</t>
  </si>
  <si>
    <t>707</t>
  </si>
  <si>
    <t>RFC9813689</t>
  </si>
  <si>
    <t>ARTEMIS</t>
  </si>
  <si>
    <t>512</t>
  </si>
  <si>
    <t>V7C9120507</t>
  </si>
  <si>
    <t>RFH0633736</t>
  </si>
  <si>
    <t>ASSURPOLE</t>
  </si>
  <si>
    <t>513</t>
  </si>
  <si>
    <t>R4Z8400489</t>
  </si>
  <si>
    <t>ATOL (SWAN)</t>
  </si>
  <si>
    <t>M3145</t>
  </si>
  <si>
    <t>514</t>
  </si>
  <si>
    <t>ADXM121007383</t>
  </si>
  <si>
    <t>AUDIT FINANCE EXPERT</t>
  </si>
  <si>
    <t>1104</t>
  </si>
  <si>
    <t>A93E127002643</t>
  </si>
  <si>
    <t>A93E127001201</t>
  </si>
  <si>
    <t>AA7R321001152</t>
  </si>
  <si>
    <t>AUGE SARL</t>
  </si>
  <si>
    <t>MF459</t>
  </si>
  <si>
    <t>515</t>
  </si>
  <si>
    <t>ACVD121003526</t>
  </si>
  <si>
    <t>AURELIANIS H2O</t>
  </si>
  <si>
    <t>1180</t>
  </si>
  <si>
    <t>VE50858321</t>
  </si>
  <si>
    <t>AUTO-PEINT DIRIGO</t>
  </si>
  <si>
    <t>1319</t>
  </si>
  <si>
    <t>AAJP121206635</t>
  </si>
  <si>
    <t>B. LLAUZE ARBONA</t>
  </si>
  <si>
    <t>+3320i</t>
  </si>
  <si>
    <t>511</t>
  </si>
  <si>
    <t>R311406669</t>
  </si>
  <si>
    <t>BIO AUDEMA</t>
  </si>
  <si>
    <t>358Ci</t>
  </si>
  <si>
    <t>519</t>
  </si>
  <si>
    <t>W531Z00947</t>
  </si>
  <si>
    <t>W2W7931859</t>
  </si>
  <si>
    <t>BOUCARD</t>
  </si>
  <si>
    <t>521</t>
  </si>
  <si>
    <t>RVP1407636</t>
  </si>
  <si>
    <t>VE91487169</t>
  </si>
  <si>
    <t>524</t>
  </si>
  <si>
    <t>RFH0X41420</t>
  </si>
  <si>
    <t>CFC 34</t>
  </si>
  <si>
    <t>525</t>
  </si>
  <si>
    <t>CNBRS9W2K9</t>
  </si>
  <si>
    <t>COMMUNE DE VENDARGUES</t>
  </si>
  <si>
    <t>846</t>
  </si>
  <si>
    <t>VE50X63110</t>
  </si>
  <si>
    <t>ADXM121000025</t>
  </si>
  <si>
    <t>ADXF021003185</t>
  </si>
  <si>
    <t>A7AH127001519</t>
  </si>
  <si>
    <t>A7AH127001517</t>
  </si>
  <si>
    <t>A7AH127001489</t>
  </si>
  <si>
    <t>W2W7216442</t>
  </si>
  <si>
    <t>COTE PIERRE IMMO</t>
  </si>
  <si>
    <t>526</t>
  </si>
  <si>
    <t>VE97610520</t>
  </si>
  <si>
    <t>COVERING CARE</t>
  </si>
  <si>
    <t>527</t>
  </si>
  <si>
    <t>AAJP3211203487</t>
  </si>
  <si>
    <t>DACRI CONSEIL</t>
  </si>
  <si>
    <t>1192</t>
  </si>
  <si>
    <t>W533603316</t>
  </si>
  <si>
    <t>DATCHA</t>
  </si>
  <si>
    <t>892</t>
  </si>
  <si>
    <t>RFH0635585</t>
  </si>
  <si>
    <t>DELTA VOILES</t>
  </si>
  <si>
    <t>532</t>
  </si>
  <si>
    <t>AA2K021017299</t>
  </si>
  <si>
    <t>DIXICOM</t>
  </si>
  <si>
    <t>1186</t>
  </si>
  <si>
    <t>VE98Z34733</t>
  </si>
  <si>
    <t>DOUCES AMANDES</t>
  </si>
  <si>
    <t>678</t>
  </si>
  <si>
    <t>RFH0X41240</t>
  </si>
  <si>
    <t>DR DRAY</t>
  </si>
  <si>
    <t>P6230Cdn</t>
  </si>
  <si>
    <t>533</t>
  </si>
  <si>
    <t>RFM0731940</t>
  </si>
  <si>
    <t>ESPACE PEINTURE</t>
  </si>
  <si>
    <t>535</t>
  </si>
  <si>
    <t>W532X02941</t>
  </si>
  <si>
    <t>EXPERT MIDI CONSEIL</t>
  </si>
  <si>
    <t>538</t>
  </si>
  <si>
    <t>AAJP127003222</t>
  </si>
  <si>
    <t>FAJEPRO</t>
  </si>
  <si>
    <t>1246</t>
  </si>
  <si>
    <t>RM10503152</t>
  </si>
  <si>
    <t>FENIX</t>
  </si>
  <si>
    <t>870</t>
  </si>
  <si>
    <t>AAJP127000624</t>
  </si>
  <si>
    <t>FISH LUNEL</t>
  </si>
  <si>
    <t>1008</t>
  </si>
  <si>
    <t>AAJP127000403</t>
  </si>
  <si>
    <t>FRANCE ALZHEIMER</t>
  </si>
  <si>
    <t>539</t>
  </si>
  <si>
    <t>W532X02665</t>
  </si>
  <si>
    <t>FUERST PLAST</t>
  </si>
  <si>
    <t>541</t>
  </si>
  <si>
    <t>RFH9102945</t>
  </si>
  <si>
    <t>W532X02664</t>
  </si>
  <si>
    <t>FUTUR PLAST CPTA</t>
  </si>
  <si>
    <t>542</t>
  </si>
  <si>
    <t>W532X02678</t>
  </si>
  <si>
    <t>FUTUR PLAST LOGISTIQU</t>
  </si>
  <si>
    <t>RFM1137931</t>
  </si>
  <si>
    <t>GARSI</t>
  </si>
  <si>
    <t>543</t>
  </si>
  <si>
    <t>VE58418810</t>
  </si>
  <si>
    <t>GAYA SI</t>
  </si>
  <si>
    <t>544</t>
  </si>
  <si>
    <t>W532802437</t>
  </si>
  <si>
    <t>GEDEAS</t>
  </si>
  <si>
    <t>632</t>
  </si>
  <si>
    <t>V7F7811730</t>
  </si>
  <si>
    <t>GRAVURE CONCEPT</t>
  </si>
  <si>
    <t>306Ci</t>
  </si>
  <si>
    <t>545</t>
  </si>
  <si>
    <t>W532201086</t>
  </si>
  <si>
    <t>ACVD121005414</t>
  </si>
  <si>
    <t>HELLOCOM</t>
  </si>
  <si>
    <t>1220</t>
  </si>
  <si>
    <t>W2S6Y07602</t>
  </si>
  <si>
    <t>HPO HOLDING</t>
  </si>
  <si>
    <t>548</t>
  </si>
  <si>
    <t>R311406667</t>
  </si>
  <si>
    <t>IMMO ANNONCES</t>
  </si>
  <si>
    <t>550</t>
  </si>
  <si>
    <t>ACVD121004306</t>
  </si>
  <si>
    <t>IZOU</t>
  </si>
  <si>
    <t>899</t>
  </si>
  <si>
    <t>VE51166637</t>
  </si>
  <si>
    <t>JAY IMMOBILIER</t>
  </si>
  <si>
    <t>552</t>
  </si>
  <si>
    <t>RVF1902423</t>
  </si>
  <si>
    <t>A7R0021028614</t>
  </si>
  <si>
    <t>JULIE ANDRADE NOTAIRE</t>
  </si>
  <si>
    <t>1033</t>
  </si>
  <si>
    <t>AA7R027005405</t>
  </si>
  <si>
    <t>LA FORET MANJ</t>
  </si>
  <si>
    <t>+450i</t>
  </si>
  <si>
    <t>555</t>
  </si>
  <si>
    <t>AAJP121206689</t>
  </si>
  <si>
    <t>RFH9919330</t>
  </si>
  <si>
    <t>LA PIEUVRE DU SUD</t>
  </si>
  <si>
    <t>30</t>
  </si>
  <si>
    <t>AAJP121206597</t>
  </si>
  <si>
    <t>LK AVOCATS</t>
  </si>
  <si>
    <t>1164</t>
  </si>
  <si>
    <t>AAJP321203446</t>
  </si>
  <si>
    <t>RFH9103074</t>
  </si>
  <si>
    <t>L'OULIVIE</t>
  </si>
  <si>
    <t>558</t>
  </si>
  <si>
    <t>ADXG321000072</t>
  </si>
  <si>
    <t>LUCENS AVOCATS</t>
  </si>
  <si>
    <t>1031</t>
  </si>
  <si>
    <t>W2N8727092</t>
  </si>
  <si>
    <t>MAITRE DELPHINE MOREAU</t>
  </si>
  <si>
    <t>1185</t>
  </si>
  <si>
    <t>W533803605</t>
  </si>
  <si>
    <t>MARBAC &amp; COURBIER ASSOCIES</t>
  </si>
  <si>
    <t>797</t>
  </si>
  <si>
    <t>W534905461</t>
  </si>
  <si>
    <t>881</t>
  </si>
  <si>
    <t>AAJP321203505</t>
  </si>
  <si>
    <t>R310Z05306</t>
  </si>
  <si>
    <t>MERCIER VALERIE MANDATAIRE</t>
  </si>
  <si>
    <t>997</t>
  </si>
  <si>
    <t>AAJP121207433</t>
  </si>
  <si>
    <t>MIDI VERRE EMBALLAGES</t>
  </si>
  <si>
    <t>901</t>
  </si>
  <si>
    <t>AAJP121208021</t>
  </si>
  <si>
    <t>AAJP121207438</t>
  </si>
  <si>
    <t>VE97912926</t>
  </si>
  <si>
    <t>MON BANQUIER PRIVE</t>
  </si>
  <si>
    <t>561</t>
  </si>
  <si>
    <t>W2W8240229</t>
  </si>
  <si>
    <t>MONTPELLIER HSC VB</t>
  </si>
  <si>
    <t>564</t>
  </si>
  <si>
    <t>VE91487197</t>
  </si>
  <si>
    <t>VE51470776</t>
  </si>
  <si>
    <t>VE97912918</t>
  </si>
  <si>
    <t>W531600074</t>
  </si>
  <si>
    <t>MOULIN DE GUINDON</t>
  </si>
  <si>
    <t>562</t>
  </si>
  <si>
    <t>VE91487210</t>
  </si>
  <si>
    <t>NAS CAR SUD</t>
  </si>
  <si>
    <t>1090</t>
  </si>
  <si>
    <t>R4Z8400402</t>
  </si>
  <si>
    <t>NAUTI-CAP</t>
  </si>
  <si>
    <t>565</t>
  </si>
  <si>
    <t>AAJP127003173</t>
  </si>
  <si>
    <t>AAJP127003136</t>
  </si>
  <si>
    <t>AAJP127003134</t>
  </si>
  <si>
    <t>AAJP127003143</t>
  </si>
  <si>
    <t>VE51470483</t>
  </si>
  <si>
    <t>AAJP321203444</t>
  </si>
  <si>
    <t>NOTAIRE RANCIERE MAGALI</t>
  </si>
  <si>
    <t>1037</t>
  </si>
  <si>
    <t>VE59Z45482</t>
  </si>
  <si>
    <t>PATRICIA COSSU AXA</t>
  </si>
  <si>
    <t>570</t>
  </si>
  <si>
    <t>W2S8949642</t>
  </si>
  <si>
    <t>PAVLOVA IMMOBILIER</t>
  </si>
  <si>
    <t>1137</t>
  </si>
  <si>
    <t>RFH9101782</t>
  </si>
  <si>
    <t>PILAUKA</t>
  </si>
  <si>
    <t>623</t>
  </si>
  <si>
    <t>ADXM121000191</t>
  </si>
  <si>
    <t>PORTEMETAL</t>
  </si>
  <si>
    <t>1154</t>
  </si>
  <si>
    <t>ACVD121005458</t>
  </si>
  <si>
    <t>PROFIL FACADE SARL</t>
  </si>
  <si>
    <t>833</t>
  </si>
  <si>
    <t>AE1V121000685</t>
  </si>
  <si>
    <t>REPASCONFORT</t>
  </si>
  <si>
    <t>996</t>
  </si>
  <si>
    <t>VE91487178</t>
  </si>
  <si>
    <t>RESEAU FRANCE IMMO</t>
  </si>
  <si>
    <t>572</t>
  </si>
  <si>
    <t>H561Y08244</t>
  </si>
  <si>
    <t>RICHARD ARCHI</t>
  </si>
  <si>
    <t>1876</t>
  </si>
  <si>
    <t>A7R0021041280</t>
  </si>
  <si>
    <t>RIS - SUD</t>
  </si>
  <si>
    <t>C258</t>
  </si>
  <si>
    <t>656</t>
  </si>
  <si>
    <t>VCY3X10075</t>
  </si>
  <si>
    <t>SCM VEDAS OPHTALMOLOGIE</t>
  </si>
  <si>
    <t>566</t>
  </si>
  <si>
    <t>R319Y00388</t>
  </si>
  <si>
    <t>VCY3X10074</t>
  </si>
  <si>
    <t>RFH0738566</t>
  </si>
  <si>
    <t>SECOURS CATHOLIQUE</t>
  </si>
  <si>
    <t>1045</t>
  </si>
  <si>
    <t>AAJP127002195</t>
  </si>
  <si>
    <t>SELDRA</t>
  </si>
  <si>
    <t>+3321i</t>
  </si>
  <si>
    <t>576</t>
  </si>
  <si>
    <t>VE91487163</t>
  </si>
  <si>
    <t>SERVICES FUNERAIRES DU GARD</t>
  </si>
  <si>
    <t>577</t>
  </si>
  <si>
    <t>ACVD121005447</t>
  </si>
  <si>
    <t>SIGMA HABITAT</t>
  </si>
  <si>
    <t>1228</t>
  </si>
  <si>
    <t>RFM9Y22037</t>
  </si>
  <si>
    <t>SIM FERMETURES</t>
  </si>
  <si>
    <t>578</t>
  </si>
  <si>
    <t>RFM9X20377</t>
  </si>
  <si>
    <t>ADXJ121000217</t>
  </si>
  <si>
    <t>1032</t>
  </si>
  <si>
    <t>AAJP127004381</t>
  </si>
  <si>
    <t>SOMLIMAT</t>
  </si>
  <si>
    <t>1318</t>
  </si>
  <si>
    <t>AAJP321203476</t>
  </si>
  <si>
    <t>STORY NIMES</t>
  </si>
  <si>
    <t>613</t>
  </si>
  <si>
    <t>AAJP321203486</t>
  </si>
  <si>
    <t>VE50X61839</t>
  </si>
  <si>
    <t>SWISSLIFE ACCUEIL</t>
  </si>
  <si>
    <t>580</t>
  </si>
  <si>
    <t>VE50X61889</t>
  </si>
  <si>
    <t>SWISSLIFE BUREAU 2</t>
  </si>
  <si>
    <t>RFM1138064</t>
  </si>
  <si>
    <t>SYNIA WIZZCOM</t>
  </si>
  <si>
    <t>581</t>
  </si>
  <si>
    <t>AAJP127004145</t>
  </si>
  <si>
    <t>TB AUTO</t>
  </si>
  <si>
    <t>582</t>
  </si>
  <si>
    <t>AA2M121000280</t>
  </si>
  <si>
    <t>TRAIT D'UNION</t>
  </si>
  <si>
    <t>1217</t>
  </si>
  <si>
    <t>VE58420016</t>
  </si>
  <si>
    <t>WELCOME BEAUTY</t>
  </si>
  <si>
    <t>584</t>
  </si>
  <si>
    <t>ACVD121004326</t>
  </si>
  <si>
    <t>YCMC</t>
  </si>
  <si>
    <t>585</t>
  </si>
  <si>
    <t>Date</t>
  </si>
  <si>
    <t>Quantité</t>
  </si>
  <si>
    <t>Couleur</t>
  </si>
  <si>
    <t>K</t>
  </si>
  <si>
    <t>KATUN</t>
  </si>
  <si>
    <t>C</t>
  </si>
  <si>
    <t>M</t>
  </si>
  <si>
    <t>Y</t>
  </si>
  <si>
    <t>TN324K</t>
  </si>
  <si>
    <t>TN324C</t>
  </si>
  <si>
    <t>TN324M</t>
  </si>
  <si>
    <t>TN324Y</t>
  </si>
  <si>
    <t>MARQUE</t>
  </si>
  <si>
    <t>KONICA</t>
  </si>
  <si>
    <t>B1417</t>
  </si>
  <si>
    <t>COPYMIX</t>
  </si>
  <si>
    <t>OLIVETTI</t>
  </si>
  <si>
    <t>B1418</t>
  </si>
  <si>
    <t>B1419</t>
  </si>
  <si>
    <t>B1420</t>
  </si>
  <si>
    <t>Référence</t>
  </si>
  <si>
    <t>B1377</t>
  </si>
  <si>
    <t>B1378</t>
  </si>
  <si>
    <t>B1379</t>
  </si>
  <si>
    <t>B1380</t>
  </si>
  <si>
    <t>MF460</t>
  </si>
  <si>
    <t>MF461</t>
  </si>
  <si>
    <t>MF462</t>
  </si>
  <si>
    <t>B1353</t>
  </si>
  <si>
    <t>B1355</t>
  </si>
  <si>
    <t>MF3303</t>
  </si>
  <si>
    <t>B1337</t>
  </si>
  <si>
    <t>B1336</t>
  </si>
  <si>
    <t>B1338</t>
  </si>
  <si>
    <t>B1339</t>
  </si>
  <si>
    <t>M2135</t>
  </si>
  <si>
    <t>KYOCERA</t>
  </si>
  <si>
    <t>T1150</t>
  </si>
  <si>
    <t>P2040</t>
  </si>
  <si>
    <t>M2040</t>
  </si>
  <si>
    <t>TK1160</t>
  </si>
  <si>
    <t>TK1170</t>
  </si>
  <si>
    <t>TK3060</t>
  </si>
  <si>
    <t>ARMOR</t>
  </si>
  <si>
    <t>TK5195</t>
  </si>
  <si>
    <t>TK5195C</t>
  </si>
  <si>
    <t>TK5195M</t>
  </si>
  <si>
    <t>TK5195Y</t>
  </si>
  <si>
    <t>TK8515K</t>
  </si>
  <si>
    <t>TK8515C</t>
  </si>
  <si>
    <t>TK8515M</t>
  </si>
  <si>
    <t>TK8515Y</t>
  </si>
  <si>
    <t>TK8555K</t>
  </si>
  <si>
    <t>TK8555C</t>
  </si>
  <si>
    <t>TK8555M</t>
  </si>
  <si>
    <t>TK8555Y</t>
  </si>
  <si>
    <t>TK8365K</t>
  </si>
  <si>
    <t>TK8365C</t>
  </si>
  <si>
    <t>TK8365M</t>
  </si>
  <si>
    <t>TK8365Y</t>
  </si>
  <si>
    <t>TK5205K</t>
  </si>
  <si>
    <t>TK5205C</t>
  </si>
  <si>
    <t>TK5205M</t>
  </si>
  <si>
    <t>TK5205Y</t>
  </si>
  <si>
    <t>TK5240K</t>
  </si>
  <si>
    <t>TK5240C</t>
  </si>
  <si>
    <t>TK5240M</t>
  </si>
  <si>
    <t>TK5240Y</t>
  </si>
  <si>
    <t>TK8335k</t>
  </si>
  <si>
    <t>TK8345K</t>
  </si>
  <si>
    <t>TK8345C</t>
  </si>
  <si>
    <t>TK8345M</t>
  </si>
  <si>
    <t>TK8345Y</t>
  </si>
  <si>
    <t>TK8525K</t>
  </si>
  <si>
    <t>TK8525C</t>
  </si>
  <si>
    <t>TK8525M</t>
  </si>
  <si>
    <t>TK8525Y</t>
  </si>
  <si>
    <t>DEVELOP</t>
  </si>
  <si>
    <t>TN328K</t>
  </si>
  <si>
    <t>TN328M</t>
  </si>
  <si>
    <t>TN328Y</t>
  </si>
  <si>
    <t xml:space="preserve">+451/ +551 / +651 </t>
  </si>
  <si>
    <t>TN626K</t>
  </si>
  <si>
    <t xml:space="preserve">+3351i </t>
  </si>
  <si>
    <t>TNP79K</t>
  </si>
  <si>
    <t>TNP79C</t>
  </si>
  <si>
    <t>TNP79M</t>
  </si>
  <si>
    <t>TNP79Y</t>
  </si>
  <si>
    <t>+4000i</t>
  </si>
  <si>
    <t>TNP81K</t>
  </si>
  <si>
    <t>TNP81C</t>
  </si>
  <si>
    <t>TNP81M</t>
  </si>
  <si>
    <t>TNP81Y</t>
  </si>
  <si>
    <t>TNP80K</t>
  </si>
  <si>
    <t>TNP80C</t>
  </si>
  <si>
    <t>TNP80M</t>
  </si>
  <si>
    <t>TNP80Y</t>
  </si>
  <si>
    <t>+257</t>
  </si>
  <si>
    <t>TN227K</t>
  </si>
  <si>
    <t>TN227C</t>
  </si>
  <si>
    <t>TN227M</t>
  </si>
  <si>
    <t>TN227Y</t>
  </si>
  <si>
    <t>TN323K</t>
  </si>
  <si>
    <t>MFP4302</t>
  </si>
  <si>
    <t>W2200</t>
  </si>
  <si>
    <t>W2201</t>
  </si>
  <si>
    <t>W2203</t>
  </si>
  <si>
    <t>W2202</t>
  </si>
  <si>
    <t>BCITY</t>
  </si>
  <si>
    <t>HP</t>
  </si>
  <si>
    <t>WX103</t>
  </si>
  <si>
    <t>WX104</t>
  </si>
  <si>
    <t>WX105</t>
  </si>
  <si>
    <t>WX107</t>
  </si>
  <si>
    <t>BC</t>
  </si>
  <si>
    <t>WBP08</t>
  </si>
  <si>
    <t>N° CLIENT</t>
  </si>
  <si>
    <t>Marque</t>
  </si>
  <si>
    <t>356Ci</t>
  </si>
  <si>
    <t>GANGES</t>
  </si>
  <si>
    <t>COURS BELLEVUE</t>
  </si>
  <si>
    <t>JACOU</t>
  </si>
  <si>
    <t>LUNEL</t>
  </si>
  <si>
    <t>CLERMONT L'HERAULT</t>
  </si>
  <si>
    <t>SETE</t>
  </si>
  <si>
    <t xml:space="preserve">APIJE </t>
  </si>
  <si>
    <t>ALBIZIA</t>
  </si>
  <si>
    <t>ALBIZIA 2</t>
  </si>
  <si>
    <t>DIRECTION</t>
  </si>
  <si>
    <t>ELECTRICITE</t>
  </si>
  <si>
    <t>ALES</t>
  </si>
  <si>
    <t>2554Ci</t>
  </si>
  <si>
    <r>
      <t xml:space="preserve">CEM </t>
    </r>
    <r>
      <rPr>
        <sz val="8"/>
        <color rgb="FF0000FF"/>
        <rFont val="Calibri"/>
        <family val="2"/>
      </rPr>
      <t>(CENTRE D'ENTRAINEMENT MÉDITÉRANNÉÉ)</t>
    </r>
  </si>
  <si>
    <t>LES PETITS LUTINS</t>
  </si>
  <si>
    <t>MAIRIE 1er ETAGE</t>
  </si>
  <si>
    <t>COMMUNICATION</t>
  </si>
  <si>
    <t>ECOLE COSSO</t>
  </si>
  <si>
    <t>287i</t>
  </si>
  <si>
    <t>ASPHODELES</t>
  </si>
  <si>
    <t>ECOLE DES GARRIGUES</t>
  </si>
  <si>
    <t>MF3302</t>
  </si>
  <si>
    <t>MF A3 Couleur</t>
  </si>
  <si>
    <t>GILLIER ET SCHMITT HUISSIER</t>
  </si>
  <si>
    <t>OLIVIER</t>
  </si>
  <si>
    <t>ALEX</t>
  </si>
  <si>
    <t>+3120i</t>
  </si>
  <si>
    <t>P2040DN</t>
  </si>
  <si>
    <t>SGI</t>
  </si>
  <si>
    <t>COLOR LASERJET</t>
  </si>
  <si>
    <t>AROCA</t>
  </si>
  <si>
    <t>308Ci</t>
  </si>
  <si>
    <t>ClePrix</t>
  </si>
  <si>
    <t>Machine</t>
  </si>
  <si>
    <t>Cleprix</t>
  </si>
  <si>
    <t>Prix_Unitaire</t>
  </si>
  <si>
    <t>Modele</t>
  </si>
  <si>
    <t>Cout_Total</t>
  </si>
  <si>
    <t>Étiquettes de lignes</t>
  </si>
  <si>
    <t>Total général</t>
  </si>
  <si>
    <t>Somme de Cout_Total</t>
  </si>
  <si>
    <t>Mois_Annee</t>
  </si>
  <si>
    <t>Modele Machine</t>
  </si>
  <si>
    <t>B135</t>
  </si>
  <si>
    <t>Type_Toner</t>
  </si>
  <si>
    <t>MF3301</t>
  </si>
  <si>
    <t>Entrees_2026</t>
  </si>
  <si>
    <t>Sorties_2026</t>
  </si>
  <si>
    <t>Valeur_Stock_HT</t>
  </si>
  <si>
    <t>Stock_Actuel</t>
  </si>
  <si>
    <t>TK1150</t>
  </si>
  <si>
    <t>WT5191</t>
  </si>
  <si>
    <t>WT5190</t>
  </si>
  <si>
    <t>WT8500</t>
  </si>
  <si>
    <t>IUP36KMK</t>
  </si>
  <si>
    <t>IUP36KMC</t>
  </si>
  <si>
    <t>IUP36KMM</t>
  </si>
  <si>
    <t>IUP36KMY</t>
  </si>
  <si>
    <t>TN626C</t>
  </si>
  <si>
    <t>TN626M</t>
  </si>
  <si>
    <t>TN626Y</t>
  </si>
  <si>
    <t>TN328C</t>
  </si>
  <si>
    <t>Stock_total_31_12_2025
Vendargues</t>
  </si>
  <si>
    <t>valeur stock total 31/12/2025</t>
  </si>
  <si>
    <t>+250/1 300/1 360/1</t>
  </si>
  <si>
    <t>M5526C/D</t>
  </si>
  <si>
    <t>TK8335C</t>
  </si>
  <si>
    <t>TK8335M</t>
  </si>
  <si>
    <t>TK8335Y</t>
  </si>
  <si>
    <t>TK8335K</t>
  </si>
  <si>
    <t>5052/5053Ci</t>
  </si>
  <si>
    <t>4052/4053Ci</t>
  </si>
  <si>
    <t>3252/3253Ci</t>
  </si>
  <si>
    <t>TK3160</t>
  </si>
  <si>
    <t>SANSCONTRAT</t>
  </si>
  <si>
    <t>OPTIC 2000</t>
  </si>
  <si>
    <t>6054CI/5064CI/5054</t>
  </si>
  <si>
    <t>2552Ci/2553</t>
  </si>
  <si>
    <t>(Tous)</t>
  </si>
  <si>
    <t>CEM (CENTRE D'ENTRAINEMENT MÉDITÉRANNÉÉ)</t>
  </si>
  <si>
    <t>AFE</t>
  </si>
  <si>
    <t>W535205885</t>
  </si>
  <si>
    <t>B1352</t>
  </si>
  <si>
    <t>B1354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</si>
</sst>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€\ #,##0.00"/>
    <numFmt numFmtId="165" formatCode="#,##0.00\ &quot;€&quot;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  <font>
      <sz val="8"/>
      <name val="Calibri"/>
      <family val="2"/>
      <scheme val="minor"/>
    </font>
    <font>
      <sz val="8"/>
      <color rgb="FF0000FF"/>
      <name val="Calibri"/>
      <family val="2"/>
    </font>
    <font>
      <b/>
      <sz val="9"/>
      <color rgb="FFFFFFFF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rgb="FF0000FF"/>
      <name val="Calibri"/>
      <family val="2"/>
    </font>
    <font>
      <b/>
      <sz val="14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F4E7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14" fontId="2" fillId="0" borderId="0" xfId="0" applyNumberFormat="1" applyFont="1"/>
    <xf numFmtId="1" fontId="2" fillId="0" borderId="0" xfId="0" applyNumberFormat="1" applyFont="1"/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0" xfId="0" quotePrefix="1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/>
    <xf numFmtId="0" fontId="2" fillId="0" borderId="0" xfId="0" applyFont="1" applyAlignment="1">
      <alignment horizontal="left"/>
    </xf>
    <xf numFmtId="0" fontId="1" fillId="2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5" fontId="2" fillId="0" borderId="0" xfId="0" applyNumberFormat="1" applyFont="1"/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165" fontId="8" fillId="5" borderId="0" xfId="0" applyNumberFormat="1" applyFont="1" applyFill="1"/>
    <xf numFmtId="165" fontId="8" fillId="4" borderId="0" xfId="0" applyNumberFormat="1" applyFont="1" applyFill="1"/>
    <xf numFmtId="0" fontId="2" fillId="6" borderId="0" xfId="0" applyFont="1" applyFill="1"/>
  </cellXfs>
  <cellStyles count="1">
    <cellStyle name="Normal" xfId="0" builtinId="0"/>
  </cellStyles>
  <dxfs count="6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</dxf>
    <dxf>
      <border outline="0">
        <top style="thin">
          <color rgb="FFD9D9D9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  <numFmt numFmtId="164" formatCode="\€\ #,##0.00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none"/>
      </font>
      <numFmt numFmtId="165" formatCode="#,##0.00\ &quot;€&quot;"/>
      <fill>
        <patternFill patternType="solid">
          <fgColor indexed="64"/>
          <bgColor theme="9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FF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FF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FF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none"/>
      </font>
      <numFmt numFmtId="165" formatCode="#,##0.00\ &quot;€&quot;"/>
      <fill>
        <patternFill patternType="solid">
          <fgColor indexed="64"/>
          <bgColor theme="8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FF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FF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FF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FF"/>
        <name val="Calibri"/>
        <family val="2"/>
        <scheme val="none"/>
      </font>
      <numFmt numFmtId="164" formatCode="\€\ 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  <numFmt numFmtId="164" formatCode="\€\ #,##0.00"/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FF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FF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FF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FF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4"/>
        <name val="Calibri"/>
        <family val="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lan" refreshedDate="46055.734366898148" createdVersion="8" refreshedVersion="8" minRefreshableVersion="3" recordCount="141" xr:uid="{73362401-E3BB-418B-BEE0-94E360534A3E}">
  <cacheSource type="worksheet">
    <worksheetSource name="tblSorties"/>
  </cacheSource>
  <cacheFields count="12">
    <cacheField name="Date" numFmtId="14">
      <sharedItems containsNonDate="0" containsDate="1" containsString="0" containsBlank="1" minDate="2025-12-31T00:00:00" maxDate="2026-01-28T00:00:00"/>
    </cacheField>
    <cacheField name="Mois_Annee" numFmtId="14">
      <sharedItems count="4">
        <s v="2025-12"/>
        <s v="2026-01"/>
        <s v="1900-01"/>
        <s v="2025-01" u="1"/>
      </sharedItems>
    </cacheField>
    <cacheField name="Machine" numFmtId="0">
      <sharedItems containsBlank="1"/>
    </cacheField>
    <cacheField name="Modele" numFmtId="0">
      <sharedItems/>
    </cacheField>
    <cacheField name="Client" numFmtId="0">
      <sharedItems count="48">
        <s v="FUERST PLAST"/>
        <s v="FUTUR PLAST CPTA"/>
        <s v="FUTUR PLAST LOGISTIQU"/>
        <s v="GEDEAS"/>
        <s v="GRAVURE CONCEPT"/>
        <s v="GILLIER ET SCHMITT HUISSIER"/>
        <s v="APESUD"/>
        <s v="APIJE"/>
        <s v="PROFIL FACADE SARL"/>
        <s v="SIGMA HABITAT"/>
        <s v="YCMC"/>
        <s v="AUDIT FINANCE EXPERT"/>
        <s v="COMMUNE DE VENDARGUES"/>
        <s v="SGI"/>
        <s v="AUGE SARL"/>
        <s v="AUTO-PEINT DIRIGO"/>
        <s v="CEM (CENTRE D'ENTRAINEMENT MÉDITÉRANNÉÉ)"/>
        <s v="JAY IMMOBILIER"/>
        <s v="MONTPELLIER HSC VB"/>
        <s v="NAS CAR SUD"/>
        <s v="RESEAU FRANCE IMMO"/>
        <s v="SWISSLIFE ACCUEIL"/>
        <s v="SWISSLIFE BUREAU 2"/>
        <s v="FRANCE ALZHEIMER"/>
        <s v="LA PIEUVRE DU SUD"/>
        <s v="PILAUKA"/>
        <s v="SECOURS CATHOLIQUE"/>
        <s v="LK AVOCATS"/>
        <s v="A2C"/>
        <s v="ARTEMIS"/>
        <s v="DIXICOM"/>
        <s v="MAITRE DELPHINE MOREAU"/>
        <s v="PAVLOVA IMMOBILIER"/>
        <s v="SIM FERMETURES"/>
        <s v="STORY NIMES"/>
        <s v="SYNIA WIZZCOM"/>
        <s v="L'OULIVIE"/>
        <s v="ATOL (SWAN)"/>
        <s v="OPTIC 2000"/>
        <s v="JULIE ANDRADE NOTAIRE"/>
        <s v="RICHARD ARCHI"/>
        <s v="BIO AUDEMA"/>
        <s v="AFE"/>
        <s v="FISH LUNEL"/>
        <s v="MARBAC &amp; COURBIER ASSOCIES"/>
        <s v="NAUTI-CAP"/>
        <s v=""/>
        <s v="ASSURPOLE" u="1"/>
      </sharedItems>
    </cacheField>
    <cacheField name="Référence" numFmtId="0">
      <sharedItems containsBlank="1"/>
    </cacheField>
    <cacheField name="Couleur" numFmtId="0">
      <sharedItems containsBlank="1"/>
    </cacheField>
    <cacheField name="Type_Toner" numFmtId="0">
      <sharedItems containsBlank="1"/>
    </cacheField>
    <cacheField name="Quantité" numFmtId="0">
      <sharedItems containsString="0" containsBlank="1" containsNumber="1" containsInteger="1" minValue="1" maxValue="2"/>
    </cacheField>
    <cacheField name="Cleprix" numFmtId="1">
      <sharedItems/>
    </cacheField>
    <cacheField name="Prix_Unitaire" numFmtId="0">
      <sharedItems containsMixedTypes="1" containsNumber="1" minValue="0" maxValue="128.33000000000001"/>
    </cacheField>
    <cacheField name="Cout_Total" numFmtId="0">
      <sharedItems containsMixedTypes="1" containsNumber="1" minValue="0" maxValue="128.33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">
  <r>
    <d v="2025-12-31T00:00:00"/>
    <x v="0"/>
    <s v="W532X02665"/>
    <s v="MF3555"/>
    <x v="0"/>
    <s v="B1417"/>
    <s v="K"/>
    <s v="Compatible"/>
    <n v="1"/>
    <s v="MF3555|B1417|K|Compatible"/>
    <n v="33.4"/>
    <n v="33.4"/>
  </r>
  <r>
    <d v="2025-12-31T00:00:00"/>
    <x v="0"/>
    <s v="W532X02665"/>
    <s v="MF3555"/>
    <x v="0"/>
    <s v="B1418"/>
    <s v="C"/>
    <s v="Compatible"/>
    <n v="1"/>
    <s v="MF3555|B1418|C|Compatible"/>
    <n v="40"/>
    <n v="40"/>
  </r>
  <r>
    <d v="2025-12-31T00:00:00"/>
    <x v="0"/>
    <s v="W532X02665"/>
    <s v="MF3555"/>
    <x v="0"/>
    <s v="B1419"/>
    <s v="M"/>
    <s v="Compatible"/>
    <n v="1"/>
    <s v="MF3555|B1419|M|Compatible"/>
    <n v="40"/>
    <n v="40"/>
  </r>
  <r>
    <d v="2025-12-31T00:00:00"/>
    <x v="0"/>
    <s v="W532X02665"/>
    <s v="MF3555"/>
    <x v="0"/>
    <s v="B1420"/>
    <s v="Y"/>
    <s v="Compatible"/>
    <n v="1"/>
    <s v="MF3555|B1420|Y|Compatible"/>
    <n v="40"/>
    <n v="40"/>
  </r>
  <r>
    <d v="2025-12-31T00:00:00"/>
    <x v="0"/>
    <s v="W532X02664"/>
    <s v="MF3555"/>
    <x v="1"/>
    <s v="B1418"/>
    <s v="C"/>
    <s v="Original"/>
    <n v="1"/>
    <s v="MF3555|B1418|C|Original"/>
    <n v="121.89"/>
    <n v="121.89"/>
  </r>
  <r>
    <d v="2025-12-31T00:00:00"/>
    <x v="0"/>
    <s v="W532X02664"/>
    <s v="MF3555"/>
    <x v="1"/>
    <s v="B1419"/>
    <s v="M"/>
    <s v="Original"/>
    <n v="1"/>
    <s v="MF3555|B1419|M|Original"/>
    <n v="128.33000000000001"/>
    <n v="128.33000000000001"/>
  </r>
  <r>
    <d v="2025-12-31T00:00:00"/>
    <x v="0"/>
    <s v="W532X02664"/>
    <s v="MF3555"/>
    <x v="1"/>
    <s v="B1420"/>
    <s v="Y"/>
    <s v="Original"/>
    <n v="1"/>
    <s v="MF3555|B1420|Y|Original"/>
    <n v="128.33000000000001"/>
    <n v="128.33000000000001"/>
  </r>
  <r>
    <d v="2025-12-31T00:00:00"/>
    <x v="0"/>
    <s v="W532X02678"/>
    <s v="MF3555"/>
    <x v="2"/>
    <s v="B1419"/>
    <s v="M"/>
    <s v="Original"/>
    <n v="1"/>
    <s v="MF3555|B1419|M|Original"/>
    <n v="128.33000000000001"/>
    <n v="128.33000000000001"/>
  </r>
  <r>
    <d v="2025-12-31T00:00:00"/>
    <x v="0"/>
    <s v="W532X02678"/>
    <s v="MF3555"/>
    <x v="2"/>
    <s v="B1420"/>
    <s v="Y"/>
    <s v="Original"/>
    <n v="1"/>
    <s v="MF3555|B1420|Y|Original"/>
    <n v="128.33000000000001"/>
    <n v="128.33000000000001"/>
  </r>
  <r>
    <d v="2025-12-31T00:00:00"/>
    <x v="0"/>
    <s v="W532802437"/>
    <s v="MF3555"/>
    <x v="3"/>
    <s v="B1417"/>
    <s v="K"/>
    <s v="Original"/>
    <n v="1"/>
    <s v="MF3555|B1417|K|Original"/>
    <n v="67.11"/>
    <n v="67.11"/>
  </r>
  <r>
    <d v="2025-12-31T00:00:00"/>
    <x v="0"/>
    <s v="W532802437"/>
    <s v="MF3555"/>
    <x v="3"/>
    <s v="B1418"/>
    <s v="C"/>
    <s v="Original"/>
    <n v="1"/>
    <s v="MF3555|B1418|C|Original"/>
    <n v="121.89"/>
    <n v="121.89"/>
  </r>
  <r>
    <d v="2025-12-31T00:00:00"/>
    <x v="0"/>
    <s v="W532802437"/>
    <s v="MF3555"/>
    <x v="3"/>
    <s v="B1419"/>
    <s v="M"/>
    <s v="Original"/>
    <n v="1"/>
    <s v="MF3555|B1419|M|Original"/>
    <n v="128.33000000000001"/>
    <n v="128.33000000000001"/>
  </r>
  <r>
    <d v="2025-12-31T00:00:00"/>
    <x v="0"/>
    <s v="W532201086"/>
    <s v="MF3555"/>
    <x v="4"/>
    <s v="B1418"/>
    <s v="C"/>
    <s v="Original"/>
    <n v="1"/>
    <s v="MF3555|B1418|C|Original"/>
    <n v="121.89"/>
    <n v="121.89"/>
  </r>
  <r>
    <d v="2025-12-31T00:00:00"/>
    <x v="0"/>
    <s v="W532201086"/>
    <s v="MF3555"/>
    <x v="4"/>
    <s v="B1419"/>
    <s v="M"/>
    <s v="Original"/>
    <n v="1"/>
    <s v="MF3555|B1419|M|Original"/>
    <n v="128.33000000000001"/>
    <n v="128.33000000000001"/>
  </r>
  <r>
    <d v="2025-12-31T00:00:00"/>
    <x v="0"/>
    <s v="W532201086"/>
    <s v="MF3555"/>
    <x v="4"/>
    <s v="B1420"/>
    <s v="Y"/>
    <s v="Original"/>
    <n v="1"/>
    <s v="MF3555|B1420|Y|Original"/>
    <n v="128.33000000000001"/>
    <n v="128.33000000000001"/>
  </r>
  <r>
    <d v="2025-12-31T00:00:00"/>
    <x v="0"/>
    <s v="V7F7811730"/>
    <s v="306Ci"/>
    <x v="4"/>
    <s v="TK5195C"/>
    <s v="C"/>
    <s v="Original"/>
    <n v="1"/>
    <s v="306Ci|TK5195C|C|Original"/>
    <n v="94.5"/>
    <n v="94.5"/>
  </r>
  <r>
    <d v="2025-12-31T00:00:00"/>
    <x v="0"/>
    <s v="W534905461"/>
    <s v="MF3555"/>
    <x v="5"/>
    <s v="B1418"/>
    <s v="C"/>
    <s v="Original"/>
    <n v="1"/>
    <s v="MF3555|B1418|C|Original"/>
    <n v="121.89"/>
    <n v="121.89"/>
  </r>
  <r>
    <d v="2025-12-31T00:00:00"/>
    <x v="0"/>
    <s v="W534905461"/>
    <s v="MF3555"/>
    <x v="5"/>
    <s v="B1419"/>
    <s v="M"/>
    <s v="Original"/>
    <n v="1"/>
    <s v="MF3555|B1419|M|Original"/>
    <n v="128.33000000000001"/>
    <n v="128.33000000000001"/>
  </r>
  <r>
    <d v="2025-12-31T00:00:00"/>
    <x v="0"/>
    <s v="W534905461"/>
    <s v="MF3555"/>
    <x v="5"/>
    <s v="B1420"/>
    <s v="Y"/>
    <s v="Original"/>
    <n v="1"/>
    <s v="MF3555|B1420|Y|Original"/>
    <n v="128.33000000000001"/>
    <n v="128.33000000000001"/>
  </r>
  <r>
    <d v="2025-12-31T00:00:00"/>
    <x v="0"/>
    <s v="RVF3Y59321"/>
    <s v="6054CI/5064CI/5054"/>
    <x v="6"/>
    <s v="TK8555K"/>
    <s v="K"/>
    <s v="Original"/>
    <n v="1"/>
    <s v="6054CI/5064CI/5054|TK8555K|K|Original"/>
    <n v="75"/>
    <n v="75"/>
  </r>
  <r>
    <d v="2025-12-31T00:00:00"/>
    <x v="0"/>
    <s v="RVF3Y59321"/>
    <s v="6054CI/5064CI/5054"/>
    <x v="6"/>
    <s v="TK8555M"/>
    <s v="M"/>
    <s v="Original"/>
    <n v="1"/>
    <s v="6054CI/5064CI/5054|TK8555M|M|Original"/>
    <n v="127.51"/>
    <n v="127.51"/>
  </r>
  <r>
    <d v="2025-12-31T00:00:00"/>
    <x v="0"/>
    <s v="AAJR127000122"/>
    <s v="+4000i"/>
    <x v="6"/>
    <s v="TNP81K"/>
    <s v="K"/>
    <s v="Original"/>
    <n v="1"/>
    <s v="+4000i|TNP81K|K|Original"/>
    <n v="31.15"/>
    <n v="31.15"/>
  </r>
  <r>
    <d v="2025-12-31T00:00:00"/>
    <x v="0"/>
    <s v="AAJR127000122"/>
    <s v="+4000i"/>
    <x v="6"/>
    <s v="TNP81C"/>
    <s v="C"/>
    <s v="Original"/>
    <n v="2"/>
    <s v="+4000i|TNP81C|C|Original"/>
    <n v="37.53"/>
    <n v="75.06"/>
  </r>
  <r>
    <d v="2025-12-31T00:00:00"/>
    <x v="0"/>
    <s v="AAJR127000122"/>
    <s v="+4000i"/>
    <x v="6"/>
    <s v="TNP81M"/>
    <s v="M"/>
    <s v="Original"/>
    <n v="2"/>
    <s v="+4000i|TNP81M|M|Original"/>
    <n v="37.53"/>
    <n v="75.06"/>
  </r>
  <r>
    <d v="2025-12-31T00:00:00"/>
    <x v="0"/>
    <s v="AAJR127000122"/>
    <s v="+4000i"/>
    <x v="6"/>
    <s v="TNP81Y"/>
    <s v="Y"/>
    <s v="Original"/>
    <n v="2"/>
    <s v="+4000i|TNP81Y|Y|Original"/>
    <n v="37.53"/>
    <n v="75.06"/>
  </r>
  <r>
    <d v="2025-12-31T00:00:00"/>
    <x v="0"/>
    <s v="ACVD121006023"/>
    <s v="+257"/>
    <x v="7"/>
    <s v="TN227K"/>
    <s v="K"/>
    <s v="Original"/>
    <n v="1"/>
    <s v="+257|TN227K|K|Original"/>
    <n v="43.3"/>
    <n v="43.3"/>
  </r>
  <r>
    <d v="2025-12-31T00:00:00"/>
    <x v="0"/>
    <s v="ACVD121005458"/>
    <s v="+257"/>
    <x v="8"/>
    <s v="TN227Y"/>
    <s v="Y"/>
    <s v="Original"/>
    <n v="1"/>
    <s v="+257|TN227Y|Y|Original"/>
    <n v="88.13"/>
    <n v="88.13"/>
  </r>
  <r>
    <d v="2025-12-31T00:00:00"/>
    <x v="0"/>
    <s v="ACVD121005447"/>
    <s v="+257"/>
    <x v="9"/>
    <s v="TN227K"/>
    <s v="K"/>
    <s v="Original"/>
    <n v="1"/>
    <s v="+257|TN227K|K|Original"/>
    <n v="43.3"/>
    <n v="43.3"/>
  </r>
  <r>
    <d v="2025-12-31T00:00:00"/>
    <x v="0"/>
    <s v="ACVD121005447"/>
    <s v="+257"/>
    <x v="9"/>
    <s v="TN227C"/>
    <s v="C"/>
    <s v="Original"/>
    <n v="1"/>
    <s v="+257|TN227C|C|Original"/>
    <n v="88.13"/>
    <n v="88.13"/>
  </r>
  <r>
    <d v="2025-12-31T00:00:00"/>
    <x v="0"/>
    <s v="ACVD121005447"/>
    <s v="+257"/>
    <x v="9"/>
    <s v="TN227M"/>
    <s v="M"/>
    <s v="Original"/>
    <n v="1"/>
    <s v="+257|TN227M|M|Original"/>
    <n v="88.13"/>
    <n v="88.13"/>
  </r>
  <r>
    <d v="2025-12-31T00:00:00"/>
    <x v="0"/>
    <s v="ACVD121005447"/>
    <s v="+257"/>
    <x v="9"/>
    <s v="TN227Y"/>
    <s v="Y"/>
    <s v="Original"/>
    <n v="1"/>
    <s v="+257|TN227Y|Y|Original"/>
    <n v="88.13"/>
    <n v="88.13"/>
  </r>
  <r>
    <d v="2025-12-31T00:00:00"/>
    <x v="0"/>
    <s v="ACVD121004326"/>
    <s v="+257"/>
    <x v="10"/>
    <s v="TN227K"/>
    <s v="K"/>
    <s v="Original"/>
    <n v="1"/>
    <s v="+257|TN227K|K|Original"/>
    <n v="43.3"/>
    <n v="43.3"/>
  </r>
  <r>
    <d v="2025-12-31T00:00:00"/>
    <x v="0"/>
    <s v="ADXM121007383"/>
    <s v="+250/1 300/1 360/1"/>
    <x v="11"/>
    <s v="TN328K"/>
    <s v="K"/>
    <s v="Original"/>
    <n v="1"/>
    <s v="+250/1 300/1 360/1|TN328K|K|Original"/>
    <n v="38.409999999999997"/>
    <n v="38.409999999999997"/>
  </r>
  <r>
    <d v="2025-12-31T00:00:00"/>
    <x v="0"/>
    <s v="ADXM121000025"/>
    <s v="+250/1 300/1 360/1"/>
    <x v="12"/>
    <s v="TN328C"/>
    <s v="C"/>
    <s v="Original"/>
    <n v="1"/>
    <s v="+250/1 300/1 360/1|TN328C|C|Original"/>
    <n v="99.33"/>
    <n v="99.33"/>
  </r>
  <r>
    <d v="2025-12-31T00:00:00"/>
    <x v="0"/>
    <s v="ADXM121000025"/>
    <s v="+250/1 300/1 360/1"/>
    <x v="12"/>
    <s v="TN328M"/>
    <s v="M"/>
    <s v="Original"/>
    <n v="1"/>
    <s v="+250/1 300/1 360/1|TN328M|M|Original"/>
    <n v="99.33"/>
    <n v="99.33"/>
  </r>
  <r>
    <d v="2025-12-31T00:00:00"/>
    <x v="0"/>
    <s v="ADXM121000025"/>
    <s v="+250/1 300/1 360/1"/>
    <x v="12"/>
    <s v="TN328Y"/>
    <s v="Y"/>
    <s v="Original"/>
    <n v="1"/>
    <s v="+250/1 300/1 360/1|TN328Y|Y|Original"/>
    <n v="99.33"/>
    <n v="99.33"/>
  </r>
  <r>
    <d v="2025-12-31T00:00:00"/>
    <x v="0"/>
    <s v="ADXJ121000217"/>
    <s v="+250/1 300/1 360/1"/>
    <x v="13"/>
    <s v="TN328K"/>
    <s v="K"/>
    <s v="Original"/>
    <n v="1"/>
    <s v="+250/1 300/1 360/1|TN328K|K|Original"/>
    <n v="38.409999999999997"/>
    <n v="38.409999999999997"/>
  </r>
  <r>
    <d v="2025-12-31T00:00:00"/>
    <x v="0"/>
    <s v="A93E127002643"/>
    <s v="+3351i "/>
    <x v="11"/>
    <s v="TNP79M"/>
    <s v="M"/>
    <s v="Original"/>
    <n v="1"/>
    <s v="+3351i |TNP79M|M|Original"/>
    <n v="33.99"/>
    <n v="33.99"/>
  </r>
  <r>
    <d v="2025-12-31T00:00:00"/>
    <x v="0"/>
    <s v="A93E127001201"/>
    <s v="+3351i "/>
    <x v="11"/>
    <s v="TNP79M"/>
    <s v="M"/>
    <s v="Original"/>
    <n v="1"/>
    <s v="+3351i |TNP79M|M|Original"/>
    <n v="33.99"/>
    <n v="33.99"/>
  </r>
  <r>
    <d v="2025-12-31T00:00:00"/>
    <x v="0"/>
    <s v="AA7R321001152"/>
    <s v="MF459"/>
    <x v="14"/>
    <s v="B1377"/>
    <s v="K"/>
    <s v="Original"/>
    <n v="1"/>
    <s v="MF459|B1377|K|Original"/>
    <n v="40"/>
    <n v="40"/>
  </r>
  <r>
    <d v="2025-12-31T00:00:00"/>
    <x v="0"/>
    <s v="VE50858321"/>
    <s v="M5526C/D"/>
    <x v="15"/>
    <s v="TK5240Y"/>
    <s v="Y"/>
    <s v="Compatible"/>
    <n v="1"/>
    <s v="M5526C/D|TK5240Y|Y|Compatible"/>
    <n v="30.3"/>
    <n v="30.3"/>
  </r>
  <r>
    <d v="2025-12-31T00:00:00"/>
    <x v="0"/>
    <s v="VE91487169"/>
    <s v="M5526C/D"/>
    <x v="16"/>
    <s v="TK5240K"/>
    <s v="K"/>
    <s v="Compatible"/>
    <n v="1"/>
    <s v="M5526C/D|TK5240K|K|Compatible"/>
    <n v="23.3"/>
    <n v="23.3"/>
  </r>
  <r>
    <d v="2025-12-31T00:00:00"/>
    <x v="0"/>
    <s v="VE91487169"/>
    <s v="M5526C/D"/>
    <x v="16"/>
    <s v="TK5240C"/>
    <s v="C"/>
    <s v="Compatible"/>
    <n v="1"/>
    <s v="M5526C/D|TK5240C|C|Compatible"/>
    <n v="30.3"/>
    <n v="30.3"/>
  </r>
  <r>
    <d v="2025-12-31T00:00:00"/>
    <x v="0"/>
    <s v="VE91487169"/>
    <s v="M5526C/D"/>
    <x v="16"/>
    <s v="TK5240M"/>
    <s v="M"/>
    <s v="Compatible"/>
    <n v="1"/>
    <s v="M5526C/D|TK5240M|M|Compatible"/>
    <n v="30.3"/>
    <n v="30.3"/>
  </r>
  <r>
    <d v="2025-12-31T00:00:00"/>
    <x v="0"/>
    <s v="VE91487169"/>
    <s v="M5526C/D"/>
    <x v="16"/>
    <s v="TK5240Y"/>
    <s v="Y"/>
    <s v="Compatible"/>
    <n v="1"/>
    <s v="M5526C/D|TK5240Y|Y|Compatible"/>
    <n v="30.3"/>
    <n v="30.3"/>
  </r>
  <r>
    <d v="2025-12-31T00:00:00"/>
    <x v="0"/>
    <s v="VE50X63110"/>
    <s v="M5526C/D"/>
    <x v="12"/>
    <s v="TK5240K"/>
    <s v="K"/>
    <s v="Compatible"/>
    <n v="1"/>
    <s v="M5526C/D|TK5240K|K|Compatible"/>
    <n v="23.3"/>
    <n v="23.3"/>
  </r>
  <r>
    <d v="2025-12-31T00:00:00"/>
    <x v="0"/>
    <s v="VE51166637"/>
    <s v="M5526C/D"/>
    <x v="17"/>
    <s v="TK5240K"/>
    <s v="K"/>
    <s v="Compatible"/>
    <n v="1"/>
    <s v="M5526C/D|TK5240K|K|Compatible"/>
    <n v="23.3"/>
    <n v="23.3"/>
  </r>
  <r>
    <d v="2025-12-31T00:00:00"/>
    <x v="0"/>
    <s v="VE51166637"/>
    <s v="M5526C/D"/>
    <x v="17"/>
    <s v="TK5240C"/>
    <s v="C"/>
    <s v="Compatible"/>
    <n v="1"/>
    <s v="M5526C/D|TK5240C|C|Compatible"/>
    <n v="30.3"/>
    <n v="30.3"/>
  </r>
  <r>
    <d v="2025-12-31T00:00:00"/>
    <x v="0"/>
    <s v="VE91487197"/>
    <s v="M5526C/D"/>
    <x v="18"/>
    <s v="TK5240K"/>
    <s v="K"/>
    <s v="Compatible"/>
    <n v="1"/>
    <s v="M5526C/D|TK5240K|K|Compatible"/>
    <n v="23.3"/>
    <n v="23.3"/>
  </r>
  <r>
    <d v="2025-12-31T00:00:00"/>
    <x v="0"/>
    <s v="VE91487197"/>
    <s v="M5526C/D"/>
    <x v="18"/>
    <s v="TK5240C"/>
    <s v="C"/>
    <s v="Compatible"/>
    <n v="1"/>
    <s v="M5526C/D|TK5240C|C|Compatible"/>
    <n v="30.3"/>
    <n v="30.3"/>
  </r>
  <r>
    <d v="2025-12-31T00:00:00"/>
    <x v="0"/>
    <s v="VE91487197"/>
    <s v="M5526C/D"/>
    <x v="18"/>
    <s v="TK5240M"/>
    <s v="M"/>
    <s v="Compatible"/>
    <n v="1"/>
    <s v="M5526C/D|TK5240M|M|Compatible"/>
    <n v="30.3"/>
    <n v="30.3"/>
  </r>
  <r>
    <d v="2025-12-31T00:00:00"/>
    <x v="0"/>
    <s v="VE91487197"/>
    <s v="M5526C/D"/>
    <x v="18"/>
    <s v="TK5240Y"/>
    <s v="Y"/>
    <s v="Compatible"/>
    <n v="1"/>
    <s v="M5526C/D|TK5240Y|Y|Compatible"/>
    <n v="30.3"/>
    <n v="30.3"/>
  </r>
  <r>
    <d v="2025-12-31T00:00:00"/>
    <x v="0"/>
    <s v="VE51470776"/>
    <s v="M5526C/D"/>
    <x v="18"/>
    <s v="TK5240M"/>
    <s v="M"/>
    <s v="Compatible"/>
    <n v="1"/>
    <s v="M5526C/D|TK5240M|M|Compatible"/>
    <n v="30.3"/>
    <n v="30.3"/>
  </r>
  <r>
    <d v="2025-12-31T00:00:00"/>
    <x v="0"/>
    <s v="VE51470776"/>
    <s v="M5526C/D"/>
    <x v="18"/>
    <s v="TK5240Y"/>
    <s v="Y"/>
    <s v="Compatible"/>
    <n v="1"/>
    <s v="M5526C/D|TK5240Y|Y|Compatible"/>
    <n v="30.3"/>
    <n v="30.3"/>
  </r>
  <r>
    <d v="2025-12-31T00:00:00"/>
    <x v="0"/>
    <s v="VE91487210"/>
    <s v="M5526C/D"/>
    <x v="19"/>
    <s v="TK5240M"/>
    <s v="M"/>
    <s v="Compatible"/>
    <n v="1"/>
    <s v="M5526C/D|TK5240M|M|Compatible"/>
    <n v="30.3"/>
    <n v="30.3"/>
  </r>
  <r>
    <d v="2025-12-31T00:00:00"/>
    <x v="0"/>
    <s v="VE91487178"/>
    <s v="M5526C/D"/>
    <x v="20"/>
    <s v="TK5240K"/>
    <s v="K"/>
    <s v="Compatible"/>
    <n v="2"/>
    <s v="M5526C/D|TK5240K|K|Compatible"/>
    <n v="23.3"/>
    <n v="46.6"/>
  </r>
  <r>
    <d v="2025-12-31T00:00:00"/>
    <x v="0"/>
    <s v="VE91487178"/>
    <s v="M5526C/D"/>
    <x v="20"/>
    <s v="TK5240C"/>
    <s v="C"/>
    <s v="Compatible"/>
    <n v="2"/>
    <s v="M5526C/D|TK5240C|C|Compatible"/>
    <n v="30.3"/>
    <n v="60.6"/>
  </r>
  <r>
    <d v="2025-12-31T00:00:00"/>
    <x v="0"/>
    <s v="VE50X61839"/>
    <s v="M5526C/D"/>
    <x v="21"/>
    <s v="TK5240C"/>
    <s v="C"/>
    <s v="Compatible"/>
    <n v="1"/>
    <s v="M5526C/D|TK5240C|C|Compatible"/>
    <n v="30.3"/>
    <n v="30.3"/>
  </r>
  <r>
    <d v="2025-12-31T00:00:00"/>
    <x v="0"/>
    <s v="VE50X61889"/>
    <s v="M5526C/D"/>
    <x v="22"/>
    <s v="TK5240C"/>
    <s v="C"/>
    <s v="Compatible"/>
    <n v="1"/>
    <s v="M5526C/D|TK5240C|C|Compatible"/>
    <n v="30.3"/>
    <n v="30.3"/>
  </r>
  <r>
    <d v="2025-12-31T00:00:00"/>
    <x v="0"/>
    <s v="A7AH127001517"/>
    <s v="287i"/>
    <x v="12"/>
    <s v="TN323K"/>
    <s v="K"/>
    <s v="Original"/>
    <n v="1"/>
    <s v="287i|TN323K|K|Original"/>
    <n v="51.38"/>
    <n v="51.38"/>
  </r>
  <r>
    <d v="2025-12-31T00:00:00"/>
    <x v="0"/>
    <s v="AAJP127000403"/>
    <s v="+3321i"/>
    <x v="23"/>
    <s v="TNP80K"/>
    <s v="K"/>
    <s v="Original"/>
    <n v="1"/>
    <s v="+3321i|TNP80K|K|Original"/>
    <n v="48.49"/>
    <n v="48.49"/>
  </r>
  <r>
    <d v="2025-12-31T00:00:00"/>
    <x v="0"/>
    <s v="AAJP127000403"/>
    <s v="+3321i"/>
    <x v="23"/>
    <s v="TNP80C"/>
    <s v="C"/>
    <s v="Original"/>
    <n v="1"/>
    <s v="+3321i|TNP80C|C|Original"/>
    <n v="47.75"/>
    <n v="47.75"/>
  </r>
  <r>
    <d v="2025-12-31T00:00:00"/>
    <x v="0"/>
    <s v="AAJP127000403"/>
    <s v="+3321i"/>
    <x v="23"/>
    <s v="TNP80Y"/>
    <s v="Y"/>
    <s v="Original"/>
    <n v="1"/>
    <s v="+3321i|TNP80Y|Y|Original"/>
    <n v="47.75"/>
    <n v="47.75"/>
  </r>
  <r>
    <d v="2025-12-31T00:00:00"/>
    <x v="0"/>
    <s v="RFH9102945"/>
    <s v="3252/3253Ci"/>
    <x v="0"/>
    <s v="TK8335K"/>
    <s v="K"/>
    <s v="Compatible"/>
    <n v="1"/>
    <s v="3252/3253Ci|TK8335K|K|Compatible"/>
    <n v="36.5"/>
    <n v="36.5"/>
  </r>
  <r>
    <d v="2025-12-31T00:00:00"/>
    <x v="0"/>
    <s v="RFH9919330"/>
    <s v="3252/3253Ci"/>
    <x v="24"/>
    <s v="TK8335M"/>
    <s v="M"/>
    <s v="Compatible"/>
    <n v="1"/>
    <s v="3252/3253Ci|TK8335M|M|Compatible"/>
    <n v="39.5"/>
    <n v="39.5"/>
  </r>
  <r>
    <d v="2025-12-31T00:00:00"/>
    <x v="0"/>
    <s v="RFH9919330"/>
    <s v="3252/3253Ci"/>
    <x v="24"/>
    <s v="TK8335Y"/>
    <s v="Y"/>
    <s v="Compatible"/>
    <n v="1"/>
    <s v="3252/3253Ci|TK8335Y|Y|Compatible"/>
    <n v="39.5"/>
    <n v="39.5"/>
  </r>
  <r>
    <d v="2025-12-31T00:00:00"/>
    <x v="0"/>
    <s v="RFH9101782"/>
    <s v="3252/3253Ci"/>
    <x v="25"/>
    <s v="TK8335C"/>
    <s v="C"/>
    <s v="Compatible"/>
    <n v="1"/>
    <s v="3252/3253Ci|TK8335C|C|Compatible"/>
    <n v="39.5"/>
    <n v="39.5"/>
  </r>
  <r>
    <d v="2025-12-31T00:00:00"/>
    <x v="0"/>
    <s v="RFH9101782"/>
    <s v="3252/3253Ci"/>
    <x v="25"/>
    <s v="TK8335M"/>
    <s v="M"/>
    <s v="Compatible"/>
    <n v="1"/>
    <s v="3252/3253Ci|TK8335M|M|Compatible"/>
    <n v="39.5"/>
    <n v="39.5"/>
  </r>
  <r>
    <d v="2025-12-31T00:00:00"/>
    <x v="0"/>
    <s v="RFH9101782"/>
    <s v="3252/3253Ci"/>
    <x v="25"/>
    <s v="TK8335Y"/>
    <s v="Y"/>
    <s v="Compatible"/>
    <n v="1"/>
    <s v="3252/3253Ci|TK8335Y|Y|Compatible"/>
    <n v="39.5"/>
    <n v="39.5"/>
  </r>
  <r>
    <d v="2025-12-31T00:00:00"/>
    <x v="0"/>
    <s v="RFH0738566"/>
    <s v="3252/3253Ci"/>
    <x v="26"/>
    <s v="TK8335M"/>
    <s v="M"/>
    <s v="Compatible"/>
    <n v="1"/>
    <s v="3252/3253Ci|TK8335M|M|Compatible"/>
    <n v="39.5"/>
    <n v="39.5"/>
  </r>
  <r>
    <d v="2025-12-31T00:00:00"/>
    <x v="0"/>
    <s v="AAJP321203446"/>
    <s v="MF3302"/>
    <x v="27"/>
    <s v="B1353"/>
    <s v="K"/>
    <s v="Original"/>
    <n v="1"/>
    <s v="MF3302|B1353|K|Original"/>
    <n v="47"/>
    <n v="47"/>
  </r>
  <r>
    <d v="2025-12-31T00:00:00"/>
    <x v="0"/>
    <s v="AAJP321203446"/>
    <s v="MF3302"/>
    <x v="27"/>
    <s v="B135"/>
    <s v="M"/>
    <s v="Original"/>
    <n v="1"/>
    <s v="MF3302|B135|M|Original"/>
    <n v="49"/>
    <n v="49"/>
  </r>
  <r>
    <d v="2025-12-31T00:00:00"/>
    <x v="0"/>
    <s v="AAJP321203446"/>
    <s v="MF3302"/>
    <x v="27"/>
    <s v="B1355"/>
    <s v="Y"/>
    <s v="Original"/>
    <n v="1"/>
    <s v="MF3302|B1355|Y|Original"/>
    <n v="42.53"/>
    <n v="42.53"/>
  </r>
  <r>
    <d v="2025-12-31T00:00:00"/>
    <x v="0"/>
    <s v="V7C6Z05511"/>
    <s v="356Ci"/>
    <x v="28"/>
    <s v="TK5205M"/>
    <s v="M"/>
    <s v="Compatible"/>
    <n v="1"/>
    <s v="356Ci|TK5205M|M|Compatible"/>
    <n v="38.5"/>
    <n v="38.5"/>
  </r>
  <r>
    <d v="2025-12-31T00:00:00"/>
    <x v="0"/>
    <s v="RF80712853"/>
    <s v="5052/5053Ci"/>
    <x v="6"/>
    <s v="TK8515K"/>
    <s v="K"/>
    <s v="Compatible"/>
    <n v="1"/>
    <s v="5052/5053Ci|TK8515K|K|Compatible"/>
    <n v="35.549999999999997"/>
    <n v="35.549999999999997"/>
  </r>
  <r>
    <d v="2025-12-31T00:00:00"/>
    <x v="0"/>
    <s v="RF80712853"/>
    <s v="5052/5053Ci"/>
    <x v="6"/>
    <s v="TK8515C"/>
    <s v="C"/>
    <s v="Compatible"/>
    <n v="1"/>
    <s v="5052/5053Ci|TK8515C|C|Compatible"/>
    <n v="59.75"/>
    <n v="59.75"/>
  </r>
  <r>
    <d v="2025-12-31T00:00:00"/>
    <x v="0"/>
    <s v="RF80712853"/>
    <s v="5052/5053Ci"/>
    <x v="6"/>
    <s v="TK8515Y"/>
    <s v="Y"/>
    <s v="Compatible"/>
    <n v="1"/>
    <s v="5052/5053Ci|TK8515Y|Y|Compatible"/>
    <n v="59.75"/>
    <n v="59.75"/>
  </r>
  <r>
    <d v="2025-12-31T00:00:00"/>
    <x v="0"/>
    <s v="RFC9813689"/>
    <s v="4052/4053Ci"/>
    <x v="29"/>
    <s v="TK8525Y"/>
    <s v="Y"/>
    <s v="Compatible"/>
    <n v="1"/>
    <s v="4052/4053Ci|TK8525Y|Y|Compatible"/>
    <n v="47.6"/>
    <n v="47.6"/>
  </r>
  <r>
    <d v="2025-12-31T00:00:00"/>
    <x v="0"/>
    <s v="AA2K021017299"/>
    <s v="+250/1 300/1 360/1"/>
    <x v="30"/>
    <s v="TN328K"/>
    <s v="K"/>
    <s v="Original"/>
    <n v="1"/>
    <s v="+250/1 300/1 360/1|TN328K|K|Original"/>
    <n v="38.409999999999997"/>
    <n v="38.409999999999997"/>
  </r>
  <r>
    <d v="2025-12-31T00:00:00"/>
    <x v="0"/>
    <s v="W2N8727092"/>
    <s v="4052/4053Ci"/>
    <x v="31"/>
    <s v="TK8525K"/>
    <s v="K"/>
    <s v="Compatible"/>
    <n v="1"/>
    <s v="4052/4053Ci|TK8525K|K|Compatible"/>
    <n v="42.55"/>
    <n v="42.55"/>
  </r>
  <r>
    <d v="2025-12-31T00:00:00"/>
    <x v="0"/>
    <s v="W2N8727092"/>
    <s v="4052/4053Ci"/>
    <x v="31"/>
    <s v="TK8525M"/>
    <s v="M"/>
    <s v="Compatible"/>
    <n v="1"/>
    <s v="4052/4053Ci|TK8525M|M|Compatible"/>
    <n v="47.6"/>
    <n v="47.6"/>
  </r>
  <r>
    <d v="2025-12-31T00:00:00"/>
    <x v="0"/>
    <s v="W2N8727092"/>
    <s v="4052/4053Ci"/>
    <x v="31"/>
    <s v="TK8525Y"/>
    <s v="Y"/>
    <s v="Compatible"/>
    <n v="1"/>
    <s v="4052/4053Ci|TK8525Y|Y|Compatible"/>
    <n v="47.6"/>
    <n v="47.6"/>
  </r>
  <r>
    <d v="2025-12-31T00:00:00"/>
    <x v="0"/>
    <s v="W2S8949642"/>
    <s v="3252/3253Ci"/>
    <x v="32"/>
    <s v="TK8335k"/>
    <s v="K"/>
    <s v="Compatible"/>
    <n v="1"/>
    <s v="3252/3253Ci|TK8335k|K|Compatible"/>
    <n v="36.5"/>
    <n v="36.5"/>
  </r>
  <r>
    <d v="2025-12-31T00:00:00"/>
    <x v="0"/>
    <s v="RFM9X20377"/>
    <s v="2552Ci/2553"/>
    <x v="33"/>
    <s v="TK8345C"/>
    <s v="C"/>
    <s v="Compatible"/>
    <n v="1"/>
    <s v="2552Ci/2553|TK8345C|C|Compatible"/>
    <n v="40.4"/>
    <n v="40.4"/>
  </r>
  <r>
    <d v="2025-12-31T00:00:00"/>
    <x v="0"/>
    <s v="RFM9X20377"/>
    <s v="2552Ci/2553"/>
    <x v="33"/>
    <s v="TK8345M"/>
    <s v="M"/>
    <s v="Compatible"/>
    <n v="1"/>
    <s v="2552Ci/2553|TK8345M|M|Compatible"/>
    <n v="40.4"/>
    <n v="40.4"/>
  </r>
  <r>
    <d v="2025-12-31T00:00:00"/>
    <x v="0"/>
    <s v="RFM9X20377"/>
    <s v="2552Ci/2553"/>
    <x v="33"/>
    <s v="TK8345Y"/>
    <s v="Y"/>
    <s v="Compatible"/>
    <n v="1"/>
    <s v="2552Ci/2553|TK8345Y|Y|Compatible"/>
    <n v="40.4"/>
    <n v="40.4"/>
  </r>
  <r>
    <d v="2025-12-31T00:00:00"/>
    <x v="0"/>
    <s v="AAJP321203476"/>
    <s v="MF3302"/>
    <x v="34"/>
    <s v="B1353"/>
    <s v="K"/>
    <s v="Original"/>
    <n v="1"/>
    <s v="MF3302|B1353|K|Original"/>
    <n v="47"/>
    <n v="47"/>
  </r>
  <r>
    <d v="2025-12-31T00:00:00"/>
    <x v="0"/>
    <s v="AAJP321203476"/>
    <s v="MF3302"/>
    <x v="34"/>
    <s v="B135"/>
    <s v="C"/>
    <s v="Original"/>
    <n v="1"/>
    <s v="MF3302|B135|C|Original"/>
    <n v="49"/>
    <n v="49"/>
  </r>
  <r>
    <d v="2025-12-31T00:00:00"/>
    <x v="0"/>
    <s v="AAJP321203476"/>
    <s v="MF3302"/>
    <x v="34"/>
    <s v="B135"/>
    <s v="M"/>
    <s v="Original"/>
    <n v="1"/>
    <s v="MF3302|B135|M|Original"/>
    <n v="49"/>
    <n v="49"/>
  </r>
  <r>
    <d v="2025-12-31T00:00:00"/>
    <x v="0"/>
    <s v="AAJP321203476"/>
    <s v="MF3302"/>
    <x v="34"/>
    <s v="B1355"/>
    <s v="Y"/>
    <s v="Original"/>
    <n v="1"/>
    <s v="MF3302|B1355|Y|Original"/>
    <n v="42.53"/>
    <n v="42.53"/>
  </r>
  <r>
    <d v="2025-12-31T00:00:00"/>
    <x v="0"/>
    <s v="AAJP321203486"/>
    <s v="MF3302"/>
    <x v="34"/>
    <s v="B1353"/>
    <s v="K"/>
    <s v="Original"/>
    <n v="1"/>
    <s v="MF3302|B1353|K|Original"/>
    <n v="47"/>
    <n v="47"/>
  </r>
  <r>
    <d v="2025-12-31T00:00:00"/>
    <x v="0"/>
    <s v="AAJP321203486"/>
    <s v="MF3302"/>
    <x v="34"/>
    <s v="B135"/>
    <s v="C"/>
    <s v="Original"/>
    <n v="1"/>
    <s v="MF3302|B135|C|Original"/>
    <n v="49"/>
    <n v="49"/>
  </r>
  <r>
    <d v="2025-12-31T00:00:00"/>
    <x v="0"/>
    <s v="AAJP321203486"/>
    <s v="MF3302"/>
    <x v="34"/>
    <s v="B135"/>
    <s v="M"/>
    <s v="Original"/>
    <n v="1"/>
    <s v="MF3302|B135|M|Original"/>
    <n v="49"/>
    <n v="49"/>
  </r>
  <r>
    <d v="2025-12-31T00:00:00"/>
    <x v="0"/>
    <s v="AAJP321203486"/>
    <s v="MF3302"/>
    <x v="34"/>
    <s v="B1355"/>
    <s v="Y"/>
    <s v="Original"/>
    <n v="1"/>
    <s v="MF3302|B1355|Y|Original"/>
    <n v="42.53"/>
    <n v="42.53"/>
  </r>
  <r>
    <d v="2025-12-31T00:00:00"/>
    <x v="0"/>
    <s v="RFM1138064"/>
    <s v="2552Ci/2553"/>
    <x v="35"/>
    <s v="TK8345K"/>
    <s v="K"/>
    <s v="Compatible"/>
    <n v="1"/>
    <s v="2552Ci/2553|TK8345K|K|Compatible"/>
    <n v="33.4"/>
    <n v="33.4"/>
  </r>
  <r>
    <d v="2025-12-31T00:00:00"/>
    <x v="0"/>
    <s v="RFH9103074"/>
    <s v="2552Ci/2553"/>
    <x v="36"/>
    <s v="TK8345C"/>
    <s v="C"/>
    <s v="Compatible"/>
    <n v="1"/>
    <s v="2552Ci/2553|TK8345C|C|Compatible"/>
    <n v="40.4"/>
    <n v="40.4"/>
  </r>
  <r>
    <d v="2026-01-06T00:00:00"/>
    <x v="1"/>
    <s v="R4Z8400489"/>
    <s v="M3145"/>
    <x v="37"/>
    <s v="TK3160"/>
    <s v="K"/>
    <s v="Compatible"/>
    <n v="2"/>
    <s v="M3145|TK3160|K|Compatible"/>
    <n v="31"/>
    <n v="62"/>
  </r>
  <r>
    <d v="2026-01-08T00:00:00"/>
    <x v="1"/>
    <s v="SANSCONTRAT"/>
    <s v="M5526C/D"/>
    <x v="38"/>
    <s v="TK5240K"/>
    <s v="K"/>
    <s v="Compatible"/>
    <n v="2"/>
    <s v="M5526C/D|TK5240K|K|Compatible"/>
    <n v="23.3"/>
    <n v="46.6"/>
  </r>
  <r>
    <d v="2026-01-13T00:00:00"/>
    <x v="1"/>
    <s v="ADXF021003185"/>
    <s v="+451/ +551 / +651 "/>
    <x v="12"/>
    <s v="TN626C"/>
    <s v="C"/>
    <s v="Original"/>
    <n v="1"/>
    <s v="+451/ +551 / +651 |TN626C|C|Original"/>
    <n v="98.56"/>
    <n v="98.56"/>
  </r>
  <r>
    <d v="2026-01-12T00:00:00"/>
    <x v="1"/>
    <s v="VE91487210"/>
    <s v="M5526C/D"/>
    <x v="19"/>
    <s v="TK5240K"/>
    <s v="K"/>
    <s v="Compatible"/>
    <n v="1"/>
    <s v="M5526C/D|TK5240K|K|Compatible"/>
    <n v="23.3"/>
    <n v="23.3"/>
  </r>
  <r>
    <d v="2026-01-12T00:00:00"/>
    <x v="1"/>
    <s v="A7R0021028614"/>
    <s v="C258"/>
    <x v="39"/>
    <s v="TN324K"/>
    <s v="K"/>
    <s v="Compatible"/>
    <n v="1"/>
    <s v="C258|TN324K|K|Compatible"/>
    <n v="26"/>
    <n v="26"/>
  </r>
  <r>
    <d v="2026-01-13T00:00:00"/>
    <x v="1"/>
    <s v="ACVD121006386"/>
    <s v="+257"/>
    <x v="7"/>
    <s v="TN227C"/>
    <s v="C"/>
    <s v="Original"/>
    <n v="1"/>
    <s v="+257|TN227C|C|Original"/>
    <n v="88.13"/>
    <n v="88.13"/>
  </r>
  <r>
    <d v="2026-01-13T00:00:00"/>
    <x v="1"/>
    <s v="ACVD121006386"/>
    <s v="+257"/>
    <x v="7"/>
    <s v="TN227M"/>
    <s v="M"/>
    <s v="Original"/>
    <n v="1"/>
    <s v="+257|TN227M|M|Original"/>
    <n v="88.13"/>
    <n v="88.13"/>
  </r>
  <r>
    <d v="2026-01-13T00:00:00"/>
    <x v="1"/>
    <s v="ACVD121006386"/>
    <s v="+257"/>
    <x v="7"/>
    <s v="TN227Y"/>
    <s v="Y"/>
    <s v="Original"/>
    <n v="1"/>
    <s v="+257|TN227Y|Y|Original"/>
    <n v="88.13"/>
    <n v="88.13"/>
  </r>
  <r>
    <d v="2026-01-14T00:00:00"/>
    <x v="1"/>
    <s v="ACVD121006169"/>
    <s v="+257"/>
    <x v="7"/>
    <s v="TN227K"/>
    <s v="K"/>
    <s v="Compatible"/>
    <n v="1"/>
    <s v="+257|TN227K|K|Compatible"/>
    <n v="28.35"/>
    <n v="28.35"/>
  </r>
  <r>
    <d v="2026-01-14T00:00:00"/>
    <x v="1"/>
    <s v="H561Y08244"/>
    <s v="2554Ci"/>
    <x v="40"/>
    <s v="TK8365K"/>
    <s v="K"/>
    <s v="Compatible"/>
    <n v="1"/>
    <s v="2554Ci|TK8365K|K|Compatible"/>
    <n v="37.35"/>
    <n v="37.35"/>
  </r>
  <r>
    <d v="2026-01-14T00:00:00"/>
    <x v="1"/>
    <s v="W531Z00947"/>
    <s v="MF3555"/>
    <x v="41"/>
    <s v="B1418"/>
    <s v="C"/>
    <s v="Original"/>
    <n v="1"/>
    <s v="MF3555|B1418|C|Original"/>
    <n v="121.89"/>
    <n v="121.89"/>
  </r>
  <r>
    <d v="2026-01-14T00:00:00"/>
    <x v="1"/>
    <s v="W531Z00947"/>
    <s v="MF3555"/>
    <x v="41"/>
    <s v="B1419"/>
    <s v="M"/>
    <s v="Original"/>
    <n v="1"/>
    <s v="MF3555|B1419|M|Original"/>
    <n v="128.33000000000001"/>
    <n v="128.33000000000001"/>
  </r>
  <r>
    <d v="2026-01-14T00:00:00"/>
    <x v="1"/>
    <s v="W531Z00947"/>
    <s v="MF3555"/>
    <x v="41"/>
    <s v="B1420"/>
    <s v="Y"/>
    <s v="Compatible"/>
    <n v="1"/>
    <s v="MF3555|B1420|Y|Compatible"/>
    <n v="40"/>
    <n v="40"/>
  </r>
  <r>
    <d v="2026-01-16T00:00:00"/>
    <x v="1"/>
    <s v="AAJP127000403"/>
    <s v="+3321i"/>
    <x v="23"/>
    <s v="TNP80K"/>
    <s v="K"/>
    <s v="Original"/>
    <n v="1"/>
    <s v="+3321i|TNP80K|K|Original"/>
    <n v="48.49"/>
    <n v="48.49"/>
  </r>
  <r>
    <d v="2026-01-16T00:00:00"/>
    <x v="1"/>
    <m/>
    <s v=""/>
    <x v="42"/>
    <s v="WBP08"/>
    <m/>
    <m/>
    <n v="1"/>
    <s v="|WBP08||"/>
    <e v="#N/A"/>
    <e v="#N/A"/>
  </r>
  <r>
    <d v="2026-01-12T00:00:00"/>
    <x v="1"/>
    <s v="AAJP127000624"/>
    <s v="+3321i"/>
    <x v="43"/>
    <s v="TNP80K"/>
    <s v="K"/>
    <s v="Compatible"/>
    <n v="1"/>
    <s v="+3321i|TNP80K|K|Compatible"/>
    <n v="23.75"/>
    <n v="23.75"/>
  </r>
  <r>
    <d v="2026-01-19T00:00:00"/>
    <x v="1"/>
    <s v="RVF1902423"/>
    <s v="6054CI/5064CI/5054"/>
    <x v="17"/>
    <s v="TK8555K"/>
    <s v="K"/>
    <s v="Original"/>
    <n v="1"/>
    <s v="6054CI/5064CI/5054|TK8555K|K|Original"/>
    <n v="75"/>
    <n v="75"/>
  </r>
  <r>
    <d v="2026-01-19T00:00:00"/>
    <x v="1"/>
    <s v="W533803605"/>
    <s v="MF3555"/>
    <x v="44"/>
    <s v="B1417"/>
    <s v="K"/>
    <s v="Original"/>
    <n v="1"/>
    <s v="MF3555|B1417|K|Original"/>
    <n v="67.11"/>
    <n v="67.11"/>
  </r>
  <r>
    <d v="2026-01-20T00:00:00"/>
    <x v="1"/>
    <s v="AAJP127003143"/>
    <s v="+3321i"/>
    <x v="45"/>
    <s v="TNP80K"/>
    <s v="K"/>
    <s v="Compatible"/>
    <n v="1"/>
    <s v="+3321i|TNP80K|K|Compatible"/>
    <n v="23.75"/>
    <n v="23.75"/>
  </r>
  <r>
    <d v="2026-01-20T00:00:00"/>
    <x v="1"/>
    <s v="W2W8240229"/>
    <s v="2552Ci/2553"/>
    <x v="18"/>
    <s v="TK8345M"/>
    <s v="M"/>
    <s v="Compatible"/>
    <n v="1"/>
    <s v="2552Ci/2553|TK8345M|M|Compatible"/>
    <n v="40.4"/>
    <n v="40.4"/>
  </r>
  <r>
    <d v="2026-01-20T00:00:00"/>
    <x v="1"/>
    <s v="W2W8240229"/>
    <s v="2552Ci/2553"/>
    <x v="18"/>
    <s v="TK8345C"/>
    <s v="C"/>
    <s v="Compatible"/>
    <n v="1"/>
    <s v="2552Ci/2553|TK8345C|C|Compatible"/>
    <n v="40.4"/>
    <n v="40.4"/>
  </r>
  <r>
    <d v="2026-01-20T00:00:00"/>
    <x v="1"/>
    <s v="W2W8240229"/>
    <s v="2552Ci/2553"/>
    <x v="18"/>
    <s v="TK8345Y"/>
    <s v="Y"/>
    <s v="Compatible"/>
    <n v="1"/>
    <s v="2552Ci/2553|TK8345Y|Y|Compatible"/>
    <n v="40.4"/>
    <n v="40.4"/>
  </r>
  <r>
    <d v="2026-01-20T00:00:00"/>
    <x v="1"/>
    <s v="W2W8240229"/>
    <s v="2552Ci/2553"/>
    <x v="18"/>
    <s v="TK8345K"/>
    <s v="K"/>
    <s v="Compatible"/>
    <n v="1"/>
    <s v="2552Ci/2553|TK8345K|K|Compatible"/>
    <n v="33.4"/>
    <n v="33.4"/>
  </r>
  <r>
    <d v="2026-01-20T00:00:00"/>
    <x v="1"/>
    <s v="ADXF021003185"/>
    <s v="+451/ +551 / +651 "/>
    <x v="12"/>
    <s v="TN626K"/>
    <s v="K"/>
    <s v="Compatible"/>
    <n v="1"/>
    <s v="+451/ +551 / +651 |TN626K|K|Compatible"/>
    <n v="24.3"/>
    <n v="24.3"/>
  </r>
  <r>
    <d v="2026-01-19T00:00:00"/>
    <x v="1"/>
    <s v="A93E127001201"/>
    <s v="+3351i "/>
    <x v="11"/>
    <s v="TNP79K"/>
    <s v="K"/>
    <s v="Original"/>
    <n v="1"/>
    <s v="+3351i |TNP79K|K|Original"/>
    <n v="27.2"/>
    <n v="27.2"/>
  </r>
  <r>
    <d v="2026-01-19T00:00:00"/>
    <x v="1"/>
    <s v="VE50858321"/>
    <s v="M5526C/D"/>
    <x v="15"/>
    <s v="TK5240K"/>
    <s v="K"/>
    <s v="Compatible"/>
    <n v="1"/>
    <s v="M5526C/D|TK5240K|K|Compatible"/>
    <n v="23.3"/>
    <n v="23.3"/>
  </r>
  <r>
    <d v="2026-01-16T00:00:00"/>
    <x v="1"/>
    <s v="AAJR127000122"/>
    <s v="+4000i"/>
    <x v="6"/>
    <s v="TNP81K"/>
    <s v="K"/>
    <s v="Original"/>
    <n v="1"/>
    <s v="+4000i|TNP81K|K|Original"/>
    <n v="31.15"/>
    <n v="31.15"/>
  </r>
  <r>
    <d v="2026-01-16T00:00:00"/>
    <x v="1"/>
    <s v="RVF3Y59321"/>
    <s v="6054CI/5064CI/5054"/>
    <x v="6"/>
    <s v="TK8555M"/>
    <s v="M"/>
    <s v="Original"/>
    <n v="1"/>
    <s v="6054CI/5064CI/5054|TK8555M|M|Original"/>
    <n v="127.51"/>
    <n v="127.51"/>
  </r>
  <r>
    <d v="2026-01-16T00:00:00"/>
    <x v="1"/>
    <s v="RVF3Y59321"/>
    <s v="6054CI/5064CI/5054"/>
    <x v="6"/>
    <s v="TK8555C"/>
    <s v="C"/>
    <s v="Original"/>
    <n v="1"/>
    <s v="6054CI/5064CI/5054|TK8555C|C|Original"/>
    <n v="127.51"/>
    <n v="127.51"/>
  </r>
  <r>
    <d v="2026-01-16T00:00:00"/>
    <x v="1"/>
    <s v="RVF3Y59321"/>
    <s v="6054CI/5064CI/5054"/>
    <x v="6"/>
    <s v="TK8555K"/>
    <s v="K"/>
    <s v="Original"/>
    <n v="1"/>
    <s v="6054CI/5064CI/5054|TK8555K|K|Original"/>
    <n v="75"/>
    <n v="75"/>
  </r>
  <r>
    <d v="2026-01-16T00:00:00"/>
    <x v="1"/>
    <m/>
    <s v=""/>
    <x v="46"/>
    <s v="WBP08"/>
    <m/>
    <m/>
    <n v="2"/>
    <s v="|WBP08||"/>
    <e v="#N/A"/>
    <e v="#N/A"/>
  </r>
  <r>
    <d v="2026-01-13T00:00:00"/>
    <x v="1"/>
    <s v="VE97912918"/>
    <s v="M5526C/D"/>
    <x v="18"/>
    <s v="TK5240M"/>
    <s v="M"/>
    <s v="Compatible"/>
    <n v="2"/>
    <s v="M5526C/D|TK5240M|M|Compatible"/>
    <n v="30.3"/>
    <n v="60.6"/>
  </r>
  <r>
    <d v="2026-01-13T00:00:00"/>
    <x v="1"/>
    <s v="VE97912918"/>
    <s v="M5526C/D"/>
    <x v="18"/>
    <s v="TK5240Y"/>
    <s v="Y"/>
    <s v="Compatible"/>
    <n v="2"/>
    <s v="M5526C/D|TK5240Y|Y|Compatible"/>
    <n v="30.3"/>
    <n v="60.6"/>
  </r>
  <r>
    <d v="2026-01-13T00:00:00"/>
    <x v="1"/>
    <s v="VE51470776"/>
    <s v="M5526C/D"/>
    <x v="18"/>
    <s v="TK5240C"/>
    <s v="C"/>
    <s v="Compatible"/>
    <n v="1"/>
    <s v="M5526C/D|TK5240C|C|Compatible"/>
    <n v="30.3"/>
    <n v="30.3"/>
  </r>
  <r>
    <d v="2026-01-27T00:00:00"/>
    <x v="1"/>
    <s v="AAJP127003143"/>
    <s v="+3321i"/>
    <x v="45"/>
    <s v="TNP80M"/>
    <s v="M"/>
    <s v="Original"/>
    <n v="2"/>
    <s v="+3321i|TNP80M|M|Original"/>
    <n v="47.75"/>
    <n v="95.5"/>
  </r>
  <r>
    <d v="2026-01-27T00:00:00"/>
    <x v="1"/>
    <s v="AAJP127003143"/>
    <s v="+3321i"/>
    <x v="45"/>
    <s v="TNP80C"/>
    <s v="C"/>
    <s v="Original"/>
    <n v="1"/>
    <s v="+3321i|TNP80C|C|Original"/>
    <n v="47.75"/>
    <n v="47.75"/>
  </r>
  <r>
    <d v="2026-01-27T00:00:00"/>
    <x v="1"/>
    <s v="AAJP127003143"/>
    <s v="+3321i"/>
    <x v="45"/>
    <s v="TNP80Y"/>
    <s v="Y"/>
    <s v="Original"/>
    <n v="1"/>
    <s v="+3321i|TNP80Y|Y|Original"/>
    <n v="47.75"/>
    <n v="47.75"/>
  </r>
  <r>
    <d v="2026-01-27T00:00:00"/>
    <x v="1"/>
    <m/>
    <s v=""/>
    <x v="46"/>
    <s v="WASTE TONER "/>
    <m/>
    <m/>
    <m/>
    <s v="|WASTE TONER ||"/>
    <e v="#N/A"/>
    <e v="#N/A"/>
  </r>
  <r>
    <m/>
    <x v="2"/>
    <m/>
    <s v=""/>
    <x v="46"/>
    <m/>
    <m/>
    <m/>
    <m/>
    <s v="|||"/>
    <n v="0"/>
    <n v="0"/>
  </r>
  <r>
    <m/>
    <x v="2"/>
    <m/>
    <s v=""/>
    <x v="46"/>
    <m/>
    <m/>
    <m/>
    <m/>
    <s v="|||"/>
    <n v="0"/>
    <n v="0"/>
  </r>
  <r>
    <m/>
    <x v="2"/>
    <m/>
    <s v=""/>
    <x v="46"/>
    <m/>
    <m/>
    <m/>
    <m/>
    <s v="|||"/>
    <n v="0"/>
    <n v="0"/>
  </r>
  <r>
    <m/>
    <x v="2"/>
    <m/>
    <s v=""/>
    <x v="46"/>
    <m/>
    <m/>
    <m/>
    <m/>
    <s v="|||"/>
    <n v="0"/>
    <n v="0"/>
  </r>
  <r>
    <m/>
    <x v="2"/>
    <m/>
    <s v=""/>
    <x v="46"/>
    <m/>
    <m/>
    <m/>
    <m/>
    <s v="|||"/>
    <n v="0"/>
    <n v="0"/>
  </r>
  <r>
    <m/>
    <x v="2"/>
    <m/>
    <s v=""/>
    <x v="46"/>
    <m/>
    <m/>
    <m/>
    <m/>
    <s v="|||"/>
    <n v="0"/>
    <n v="0"/>
  </r>
  <r>
    <m/>
    <x v="2"/>
    <m/>
    <s v=""/>
    <x v="46"/>
    <m/>
    <m/>
    <m/>
    <m/>
    <s v="|||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784FA6-50E8-46F0-9C41-4CCBABDC19E7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51" firstHeaderRow="1" firstDataRow="1" firstDataCol="1" rowPageCount="1" colPageCount="1"/>
  <pivotFields count="12">
    <pivotField showAll="0"/>
    <pivotField axis="axisPage" multipleItemSelectionAllowed="1" showAll="0">
      <items count="5">
        <item x="2"/>
        <item x="0"/>
        <item x="1"/>
        <item m="1" x="3"/>
        <item t="default"/>
      </items>
    </pivotField>
    <pivotField showAll="0"/>
    <pivotField showAll="0"/>
    <pivotField axis="axisRow" showAll="0">
      <items count="49">
        <item x="46"/>
        <item x="7"/>
        <item sd="0" x="39"/>
        <item sd="0" m="1" x="47"/>
        <item sd="0" x="11"/>
        <item x="0"/>
        <item x="1"/>
        <item x="2"/>
        <item x="3"/>
        <item x="4"/>
        <item x="5"/>
        <item x="6"/>
        <item x="8"/>
        <item x="9"/>
        <item x="10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40"/>
        <item x="41"/>
        <item x="43"/>
        <item x="44"/>
        <item x="45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48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pageFields count="1">
    <pageField fld="1" hier="-1"/>
  </pageFields>
  <dataFields count="1">
    <dataField name="Somme de Cout_Total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171ED6F-4E76-4D9F-A0B0-8CF45865516C}" name="tblprix" displayName="tblprix" ref="B1:J168" totalsRowShown="0" headerRowDxfId="28" dataDxfId="27">
  <autoFilter ref="B1:J168" xr:uid="{8171ED6F-4E76-4D9F-A0B0-8CF45865516C}"/>
  <tableColumns count="9">
    <tableColumn id="1" xr3:uid="{5538A2C0-B097-4FF3-B307-BCA936ED8D88}" name="Clé (Ref|Type)">
      <calculatedColumnFormula>C2&amp;"|"&amp;D2</calculatedColumnFormula>
    </tableColumn>
    <tableColumn id="2" xr3:uid="{F046CCE9-E9D6-4344-9BA1-1CC7E778644F}" name="Référence" dataDxfId="26"/>
    <tableColumn id="3" xr3:uid="{F408227A-618B-42E3-9FC9-01418BAF0A5C}" name="Type (Original/Compatible)" dataDxfId="25"/>
    <tableColumn id="4" xr3:uid="{8A4B12FD-13F3-48BD-8629-851FFAB250B5}" name="Couleur" dataDxfId="24"/>
    <tableColumn id="5" xr3:uid="{0C04A72B-CFC9-4C22-AFE3-34772D2A75E1}" name="Fournisseur" dataDxfId="23"/>
    <tableColumn id="6" xr3:uid="{2B9E453F-C603-4EFE-B4CC-15A1E9913B5E}" name="Prix achat HT" dataDxfId="22"/>
    <tableColumn id="7" xr3:uid="{8B7189FE-C713-4BE9-A53D-2938B9F54DCA}" name="Modele Machine" dataDxfId="21"/>
    <tableColumn id="8" xr3:uid="{FA2A8989-6983-4E88-8E07-2C9C19A1EC6C}" name="MARQUE"/>
    <tableColumn id="13" xr3:uid="{91E74E75-1127-4D05-829B-B773A3310800}" name="ClePrix" dataDxfId="20">
      <calculatedColumnFormula>tblprix[[#This Row],[Modele Machine]]&amp;"|"&amp;tblprix[[#This Row],[Référence]]&amp;"|"&amp;tblprix[[#This Row],[Couleur]]&amp;"|"&amp;tblprix[[#This Row],[Type (Original/Compatible)]]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D43A91-7176-49FE-885A-4D077ED0B5DA}" name="tblStock" displayName="tblStock" ref="B1:P165" totalsRowCount="1" headerRowDxfId="59" dataDxfId="58" totalsRowDxfId="57">
  <autoFilter ref="B1:P164" xr:uid="{83D43A91-7176-49FE-885A-4D077ED0B5DA}"/>
  <tableColumns count="15">
    <tableColumn id="1" xr3:uid="{3E22CED6-6DE6-4B45-95AA-6A2C9B094BAA}" name="Clé (Ref|Type)" totalsRowDxfId="56">
      <calculatedColumnFormula>C2&amp;"|"&amp;D2</calculatedColumnFormula>
    </tableColumn>
    <tableColumn id="2" xr3:uid="{4044FFE8-9853-4E71-84D6-DCDD2073C060}" name="Référence" dataDxfId="55" totalsRowDxfId="54"/>
    <tableColumn id="3" xr3:uid="{A259BE2A-FBF9-4394-B447-E90AE8975C09}" name="Type (Original/Compatible)" dataDxfId="53" totalsRowDxfId="52"/>
    <tableColumn id="4" xr3:uid="{792CE650-E3E0-4E48-8F13-F662A42E25B3}" name="Couleur" dataDxfId="51" totalsRowDxfId="50"/>
    <tableColumn id="5" xr3:uid="{BCC3CEC1-385C-453D-BE70-8A609BC160FA}" name="Fournisseur" dataDxfId="49" totalsRowDxfId="48"/>
    <tableColumn id="6" xr3:uid="{8F3D3CF3-8511-4242-9597-B754582544B0}" name="Prix achat HT" dataDxfId="47" totalsRowDxfId="46"/>
    <tableColumn id="7" xr3:uid="{3036BC54-7ED2-4BAD-B0AE-3754FF9F2DD4}" name="Modele Machine" dataDxfId="45" totalsRowDxfId="44"/>
    <tableColumn id="8" xr3:uid="{6108E062-6BB5-49C2-976B-117E12A46013}" name="MARQUE" totalsRowDxfId="43"/>
    <tableColumn id="13" xr3:uid="{B5CB5EFB-1312-4C81-B8AB-4A0943E0BA43}" name="ClePrix" dataDxfId="42" totalsRowDxfId="41">
      <calculatedColumnFormula>tblStock[[#This Row],[Modele Machine]]&amp;"|"&amp;tblStock[[#This Row],[Référence]]&amp;"|"&amp;tblStock[[#This Row],[Couleur]]&amp;"|"&amp;tblStock[[#This Row],[Type (Original/Compatible)]]</calculatedColumnFormula>
    </tableColumn>
    <tableColumn id="12" xr3:uid="{0E92CF03-C979-4588-AE2A-930897305A50}" name="Stock_total_31_12_2025_x000a_Vendargues" dataDxfId="40" totalsRowDxfId="39"/>
    <tableColumn id="10" xr3:uid="{4993E683-B86E-4F7F-B34C-50E0FC2B3DA3}" name="valeur stock total 31/12/2025" totalsRowFunction="sum" dataDxfId="38" totalsRowDxfId="37">
      <calculatedColumnFormula>tblStock[[#This Row],[Stock_total_31_12_2025
Vendargues]]*tblStock[[#This Row],[Prix achat HT]]</calculatedColumnFormula>
    </tableColumn>
    <tableColumn id="14" xr3:uid="{6C1F095A-1283-4B12-AE40-8238E219E4D8}" name="Entrees_2026" dataDxfId="36" totalsRowDxfId="35"/>
    <tableColumn id="15" xr3:uid="{2BBABDBC-6200-46F9-A0E2-AC520ACCBDA7}" name="Sorties_2026" dataDxfId="34" totalsRowDxfId="33">
      <calculatedColumnFormula>SUMIFS(tblSorties[Quantité],tblSorties[Cleprix],tblStock[[#This Row],[ClePrix]])</calculatedColumnFormula>
    </tableColumn>
    <tableColumn id="16" xr3:uid="{E50EE0B5-C202-41A7-88E4-4D08133F72BC}" name="Stock_Actuel" dataDxfId="32" totalsRowDxfId="31">
      <calculatedColumnFormula>tblStock[[#This Row],[Stock_total_31_12_2025
Vendargues]]+tblStock[[#This Row],[Entrees_2026]]-tblStock[[#This Row],[Sorties_2026]]</calculatedColumnFormula>
    </tableColumn>
    <tableColumn id="17" xr3:uid="{BF451A1F-A116-4C95-B736-7CA93996AA5E}" name="Valeur_Stock_HT" totalsRowFunction="sum" dataDxfId="30" totalsRowDxfId="29">
      <calculatedColumnFormula>tblStock[[#This Row],[Stock_Actuel]]*tblStock[[#This Row],[Prix achat HT]]</calculatedColumnFormula>
    </tableColumn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06544D3-762F-4B93-97F3-1B4BDDE607C8}" name="tblmachines" displayName="tblmachines" ref="A1:F132" totalsRowShown="0" headerRowDxfId="19" dataDxfId="17" headerRowBorderDxfId="18" tableBorderDxfId="16">
  <autoFilter ref="A1:F132" xr:uid="{806544D3-762F-4B93-97F3-1B4BDDE607C8}"/>
  <tableColumns count="6">
    <tableColumn id="1" xr3:uid="{5709A5DB-279A-4EC5-BA8E-2032C8F258DB}" name="ID_Machine" dataDxfId="15"/>
    <tableColumn id="2" xr3:uid="{740CD8B8-2F5E-4D80-AE54-53AFEB3CF095}" name="Client" dataDxfId="14"/>
    <tableColumn id="3" xr3:uid="{F7EA72EB-A3D3-4F55-937C-0E0081D3F74C}" name="Site" dataDxfId="13"/>
    <tableColumn id="4" xr3:uid="{AB2DE83C-15DA-4A85-95FE-2FA3F2C86CD3}" name="Marque" dataDxfId="12"/>
    <tableColumn id="5" xr3:uid="{F75C4389-B63D-4193-AC9C-AC6A837322CF}" name="Modèle" dataDxfId="11"/>
    <tableColumn id="8" xr3:uid="{793F8601-788C-4F33-A4EE-B1C6B637DFAA}" name="N° CLIENT" dataDxfId="10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Sorties" displayName="tblSorties" ref="A1:L97">
  <autoFilter ref="A1:L97" xr:uid="{00000000-0009-0000-0100-000002000000}"/>
  <tableColumns count="12">
    <tableColumn id="1" xr3:uid="{00000000-0010-0000-0100-000001000000}" name="Date"/>
    <tableColumn id="20" xr3:uid="{326EF92F-6E95-4ADE-B66A-65B0D0CE84D4}" name="Mois_Annee" dataDxfId="9">
      <calculatedColumnFormula>TEXT(tblSorties[[#This Row],[Date]],"aaaa-mm")</calculatedColumnFormula>
    </tableColumn>
    <tableColumn id="14" xr3:uid="{272B8B3D-F996-4C38-A9A4-BF762E55577C}" name="Machine" dataDxfId="8"/>
    <tableColumn id="17" xr3:uid="{EFF796EA-F9B8-423F-A1FF-F20B346AE8D8}" name="Modele" dataDxfId="7">
      <calculatedColumnFormula>IFERROR(_xlfn.XLOOKUP(tblSorties[[#This Row],[Machine]], tblmachines[[#This Row],[ID_Machine]], tblmachines[[#This Row],[Modèle]]), "")</calculatedColumnFormula>
    </tableColumn>
    <tableColumn id="19" xr3:uid="{6F1296D1-6908-42D0-AF61-99FA19A0C891}" name="Client" dataDxfId="6">
      <calculatedColumnFormula>IFERROR(_xlfn.XLOOKUP(tblSorties[[#This Row],[Machine]], tblmachines[ID_Machine], tblmachines[Client]), "")</calculatedColumnFormula>
    </tableColumn>
    <tableColumn id="3" xr3:uid="{00000000-0010-0000-0100-000003000000}" name="Référence" dataDxfId="5"/>
    <tableColumn id="15" xr3:uid="{E8E5ED8F-1020-46A1-B891-B1A0A6FBF3A8}" name="Couleur" dataDxfId="4"/>
    <tableColumn id="4" xr3:uid="{00000000-0010-0000-0100-000004000000}" name="Type_Toner" dataDxfId="3"/>
    <tableColumn id="5" xr3:uid="{00000000-0010-0000-0100-000005000000}" name="Quantité"/>
    <tableColumn id="16" xr3:uid="{F9656F09-866D-40AE-8170-BB8171565EB2}" name="Cleprix" dataDxfId="2">
      <calculatedColumnFormula>tblSorties[[#This Row],[Modele]]&amp;"|"&amp;tblSorties[[#This Row],[Référence]]&amp;"|"&amp;tblSorties[[#This Row],[Couleur]]&amp;"|"&amp;tblSorties[[#This Row],[Type_Toner]]</calculatedColumnFormula>
    </tableColumn>
    <tableColumn id="6" xr3:uid="{00000000-0010-0000-0100-000006000000}" name="Prix_Unitaire" dataDxfId="1">
      <calculatedColumnFormula>_xlfn.XLOOKUP(tblSorties[[#This Row],[Cleprix]], tblprix[ClePrix], tblprix[Prix achat HT])</calculatedColumnFormula>
    </tableColumn>
    <tableColumn id="18" xr3:uid="{0934128E-FEFB-4E8F-9D9B-F6D5236CB480}" name="Cout_Total" dataDxfId="0">
      <calculatedColumnFormula>tblSorties[[#This Row],[Quantité]]*tblSorties[[#This Row],[Prix_Unitaire]]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14"/>
  <sheetViews>
    <sheetView showGridLines="0" zoomScaleNormal="100" workbookViewId="0">
      <pane ySplit="1" topLeftCell="A53" activePane="bottomLeft" state="frozen"/>
      <selection activeCell="B1" sqref="B1"/>
      <selection pane="bottomLeft" activeCell="J138" sqref="J138"/>
    </sheetView>
  </sheetViews>
  <sheetFormatPr baseColWidth="10" defaultColWidth="9.140625" defaultRowHeight="15" x14ac:dyDescent="0.25"/>
  <cols>
    <col min="1" max="1" width="6.42578125" customWidth="1"/>
    <col min="2" max="2" width="20.28515625" hidden="1" customWidth="1"/>
    <col min="3" max="3" width="14.7109375" bestFit="1" customWidth="1"/>
    <col min="4" max="4" width="24.5703125" bestFit="1" customWidth="1"/>
    <col min="5" max="5" width="12.5703125" style="6" bestFit="1" customWidth="1"/>
    <col min="6" max="6" width="16" bestFit="1" customWidth="1"/>
    <col min="7" max="7" width="14.140625" style="6" bestFit="1" customWidth="1"/>
    <col min="8" max="8" width="20.85546875" bestFit="1" customWidth="1"/>
    <col min="9" max="9" width="13.7109375" bestFit="1" customWidth="1"/>
    <col min="10" max="10" width="38.7109375" bestFit="1" customWidth="1"/>
  </cols>
  <sheetData>
    <row r="1" spans="2:10" ht="30" x14ac:dyDescent="0.25">
      <c r="B1" s="1" t="s">
        <v>0</v>
      </c>
      <c r="C1" s="1" t="s">
        <v>337</v>
      </c>
      <c r="D1" s="1" t="s">
        <v>1</v>
      </c>
      <c r="E1" s="1" t="s">
        <v>319</v>
      </c>
      <c r="F1" s="1" t="s">
        <v>2</v>
      </c>
      <c r="G1" s="1" t="s">
        <v>3</v>
      </c>
      <c r="H1" s="1" t="s">
        <v>478</v>
      </c>
      <c r="I1" s="5" t="s">
        <v>329</v>
      </c>
      <c r="J1" s="13" t="s">
        <v>468</v>
      </c>
    </row>
    <row r="2" spans="2:10" x14ac:dyDescent="0.25">
      <c r="B2" t="str">
        <f t="shared" ref="B2:B33" si="0">C2&amp;"|"&amp;D2</f>
        <v>TN324K|Compatible</v>
      </c>
      <c r="C2" s="2" t="s">
        <v>325</v>
      </c>
      <c r="D2" s="2" t="s">
        <v>5</v>
      </c>
      <c r="E2" s="9" t="s">
        <v>320</v>
      </c>
      <c r="F2" s="2" t="s">
        <v>321</v>
      </c>
      <c r="G2" s="7">
        <v>26</v>
      </c>
      <c r="H2" s="3" t="s">
        <v>264</v>
      </c>
      <c r="I2" s="2" t="s">
        <v>330</v>
      </c>
      <c r="J2" s="2" t="str">
        <f>tblprix[[#This Row],[Modele Machine]]&amp;"|"&amp;tblprix[[#This Row],[Référence]]&amp;"|"&amp;tblprix[[#This Row],[Couleur]]&amp;"|"&amp;tblprix[[#This Row],[Type (Original/Compatible)]]</f>
        <v>C258|TN324K|K|Compatible</v>
      </c>
    </row>
    <row r="3" spans="2:10" x14ac:dyDescent="0.25">
      <c r="B3" t="str">
        <f t="shared" si="0"/>
        <v>TN324C|Compatible</v>
      </c>
      <c r="C3" s="2" t="s">
        <v>326</v>
      </c>
      <c r="D3" s="2" t="s">
        <v>5</v>
      </c>
      <c r="E3" s="9" t="s">
        <v>322</v>
      </c>
      <c r="F3" s="2" t="s">
        <v>321</v>
      </c>
      <c r="G3" s="7">
        <v>50</v>
      </c>
      <c r="H3" s="3" t="s">
        <v>264</v>
      </c>
      <c r="I3" s="2" t="s">
        <v>330</v>
      </c>
      <c r="J3" s="2" t="str">
        <f>tblprix[[#This Row],[Modele Machine]]&amp;"|"&amp;tblprix[[#This Row],[Référence]]&amp;"|"&amp;tblprix[[#This Row],[Couleur]]&amp;"|"&amp;tblprix[[#This Row],[Type (Original/Compatible)]]</f>
        <v>C258|TN324C|C|Compatible</v>
      </c>
    </row>
    <row r="4" spans="2:10" x14ac:dyDescent="0.25">
      <c r="B4" t="str">
        <f t="shared" si="0"/>
        <v>TN324M|Compatible</v>
      </c>
      <c r="C4" s="2" t="s">
        <v>327</v>
      </c>
      <c r="D4" s="2" t="s">
        <v>5</v>
      </c>
      <c r="E4" s="9" t="s">
        <v>323</v>
      </c>
      <c r="F4" s="2" t="s">
        <v>321</v>
      </c>
      <c r="G4" s="7">
        <v>50</v>
      </c>
      <c r="H4" s="3" t="s">
        <v>264</v>
      </c>
      <c r="I4" s="2" t="s">
        <v>330</v>
      </c>
      <c r="J4" s="2" t="str">
        <f>tblprix[[#This Row],[Modele Machine]]&amp;"|"&amp;tblprix[[#This Row],[Référence]]&amp;"|"&amp;tblprix[[#This Row],[Couleur]]&amp;"|"&amp;tblprix[[#This Row],[Type (Original/Compatible)]]</f>
        <v>C258|TN324M|M|Compatible</v>
      </c>
    </row>
    <row r="5" spans="2:10" x14ac:dyDescent="0.25">
      <c r="B5" t="str">
        <f t="shared" si="0"/>
        <v>TN324Y|Compatible</v>
      </c>
      <c r="C5" s="2" t="s">
        <v>328</v>
      </c>
      <c r="D5" s="2" t="s">
        <v>5</v>
      </c>
      <c r="E5" s="9" t="s">
        <v>324</v>
      </c>
      <c r="F5" s="2" t="s">
        <v>321</v>
      </c>
      <c r="G5" s="7">
        <v>50</v>
      </c>
      <c r="H5" s="3" t="s">
        <v>264</v>
      </c>
      <c r="I5" s="2" t="s">
        <v>330</v>
      </c>
      <c r="J5" s="2" t="str">
        <f>tblprix[[#This Row],[Modele Machine]]&amp;"|"&amp;tblprix[[#This Row],[Référence]]&amp;"|"&amp;tblprix[[#This Row],[Couleur]]&amp;"|"&amp;tblprix[[#This Row],[Type (Original/Compatible)]]</f>
        <v>C258|TN324Y|Y|Compatible</v>
      </c>
    </row>
    <row r="6" spans="2:10" x14ac:dyDescent="0.25">
      <c r="B6" t="str">
        <f t="shared" si="0"/>
        <v>B1417|Original</v>
      </c>
      <c r="C6" s="2" t="s">
        <v>331</v>
      </c>
      <c r="D6" s="2" t="s">
        <v>4</v>
      </c>
      <c r="E6" s="9" t="s">
        <v>320</v>
      </c>
      <c r="F6" s="2" t="s">
        <v>332</v>
      </c>
      <c r="G6" s="7">
        <v>67.11</v>
      </c>
      <c r="H6" s="2" t="s">
        <v>12</v>
      </c>
      <c r="I6" s="2" t="s">
        <v>333</v>
      </c>
      <c r="J6" s="2" t="str">
        <f>tblprix[[#This Row],[Modele Machine]]&amp;"|"&amp;tblprix[[#This Row],[Référence]]&amp;"|"&amp;tblprix[[#This Row],[Couleur]]&amp;"|"&amp;tblprix[[#This Row],[Type (Original/Compatible)]]</f>
        <v>MF3555|B1417|K|Original</v>
      </c>
    </row>
    <row r="7" spans="2:10" x14ac:dyDescent="0.25">
      <c r="B7" t="str">
        <f t="shared" si="0"/>
        <v>B1417|Compatible</v>
      </c>
      <c r="C7" s="2" t="s">
        <v>331</v>
      </c>
      <c r="D7" s="2" t="s">
        <v>5</v>
      </c>
      <c r="E7" s="9" t="s">
        <v>320</v>
      </c>
      <c r="F7" s="2" t="s">
        <v>321</v>
      </c>
      <c r="G7" s="7">
        <v>33.4</v>
      </c>
      <c r="H7" s="2" t="s">
        <v>12</v>
      </c>
      <c r="I7" s="2" t="s">
        <v>333</v>
      </c>
      <c r="J7" s="2" t="str">
        <f>tblprix[[#This Row],[Modele Machine]]&amp;"|"&amp;tblprix[[#This Row],[Référence]]&amp;"|"&amp;tblprix[[#This Row],[Couleur]]&amp;"|"&amp;tblprix[[#This Row],[Type (Original/Compatible)]]</f>
        <v>MF3555|B1417|K|Compatible</v>
      </c>
    </row>
    <row r="8" spans="2:10" x14ac:dyDescent="0.25">
      <c r="B8" t="str">
        <f t="shared" si="0"/>
        <v>B1418|Original</v>
      </c>
      <c r="C8" s="2" t="s">
        <v>334</v>
      </c>
      <c r="D8" s="2" t="s">
        <v>4</v>
      </c>
      <c r="E8" s="9" t="s">
        <v>322</v>
      </c>
      <c r="F8" s="2" t="s">
        <v>332</v>
      </c>
      <c r="G8" s="7">
        <v>121.89</v>
      </c>
      <c r="H8" s="2" t="s">
        <v>12</v>
      </c>
      <c r="I8" s="2" t="s">
        <v>333</v>
      </c>
      <c r="J8" s="2" t="str">
        <f>tblprix[[#This Row],[Modele Machine]]&amp;"|"&amp;tblprix[[#This Row],[Référence]]&amp;"|"&amp;tblprix[[#This Row],[Couleur]]&amp;"|"&amp;tblprix[[#This Row],[Type (Original/Compatible)]]</f>
        <v>MF3555|B1418|C|Original</v>
      </c>
    </row>
    <row r="9" spans="2:10" x14ac:dyDescent="0.25">
      <c r="B9" t="str">
        <f t="shared" si="0"/>
        <v>B1418|Compatible</v>
      </c>
      <c r="C9" s="2" t="s">
        <v>334</v>
      </c>
      <c r="D9" s="2" t="s">
        <v>5</v>
      </c>
      <c r="E9" s="9" t="s">
        <v>322</v>
      </c>
      <c r="F9" s="2" t="s">
        <v>321</v>
      </c>
      <c r="G9" s="7">
        <v>40</v>
      </c>
      <c r="H9" s="2" t="s">
        <v>12</v>
      </c>
      <c r="I9" s="2" t="s">
        <v>333</v>
      </c>
      <c r="J9" s="2" t="str">
        <f>tblprix[[#This Row],[Modele Machine]]&amp;"|"&amp;tblprix[[#This Row],[Référence]]&amp;"|"&amp;tblprix[[#This Row],[Couleur]]&amp;"|"&amp;tblprix[[#This Row],[Type (Original/Compatible)]]</f>
        <v>MF3555|B1418|C|Compatible</v>
      </c>
    </row>
    <row r="10" spans="2:10" x14ac:dyDescent="0.25">
      <c r="B10" t="str">
        <f t="shared" si="0"/>
        <v>B1419|Original</v>
      </c>
      <c r="C10" s="2" t="s">
        <v>335</v>
      </c>
      <c r="D10" s="2" t="s">
        <v>4</v>
      </c>
      <c r="E10" s="9" t="s">
        <v>323</v>
      </c>
      <c r="F10" s="2" t="s">
        <v>332</v>
      </c>
      <c r="G10" s="7">
        <v>128.33000000000001</v>
      </c>
      <c r="H10" s="2" t="s">
        <v>12</v>
      </c>
      <c r="I10" s="2" t="s">
        <v>333</v>
      </c>
      <c r="J10" s="2" t="str">
        <f>tblprix[[#This Row],[Modele Machine]]&amp;"|"&amp;tblprix[[#This Row],[Référence]]&amp;"|"&amp;tblprix[[#This Row],[Couleur]]&amp;"|"&amp;tblprix[[#This Row],[Type (Original/Compatible)]]</f>
        <v>MF3555|B1419|M|Original</v>
      </c>
    </row>
    <row r="11" spans="2:10" x14ac:dyDescent="0.25">
      <c r="B11" t="str">
        <f t="shared" si="0"/>
        <v>B1419|Compatible</v>
      </c>
      <c r="C11" s="2" t="s">
        <v>335</v>
      </c>
      <c r="D11" s="2" t="s">
        <v>5</v>
      </c>
      <c r="E11" s="9" t="s">
        <v>323</v>
      </c>
      <c r="F11" s="2" t="s">
        <v>321</v>
      </c>
      <c r="G11" s="7">
        <v>40</v>
      </c>
      <c r="H11" s="2" t="s">
        <v>12</v>
      </c>
      <c r="I11" s="2" t="s">
        <v>333</v>
      </c>
      <c r="J11" s="2" t="str">
        <f>tblprix[[#This Row],[Modele Machine]]&amp;"|"&amp;tblprix[[#This Row],[Référence]]&amp;"|"&amp;tblprix[[#This Row],[Couleur]]&amp;"|"&amp;tblprix[[#This Row],[Type (Original/Compatible)]]</f>
        <v>MF3555|B1419|M|Compatible</v>
      </c>
    </row>
    <row r="12" spans="2:10" x14ac:dyDescent="0.25">
      <c r="B12" t="str">
        <f t="shared" si="0"/>
        <v>B1420|Original</v>
      </c>
      <c r="C12" s="2" t="s">
        <v>336</v>
      </c>
      <c r="D12" s="2" t="s">
        <v>4</v>
      </c>
      <c r="E12" s="9" t="s">
        <v>324</v>
      </c>
      <c r="F12" s="2" t="s">
        <v>332</v>
      </c>
      <c r="G12" s="7">
        <v>128.33000000000001</v>
      </c>
      <c r="H12" s="2" t="s">
        <v>12</v>
      </c>
      <c r="I12" s="2" t="s">
        <v>333</v>
      </c>
      <c r="J12" s="2" t="str">
        <f>tblprix[[#This Row],[Modele Machine]]&amp;"|"&amp;tblprix[[#This Row],[Référence]]&amp;"|"&amp;tblprix[[#This Row],[Couleur]]&amp;"|"&amp;tblprix[[#This Row],[Type (Original/Compatible)]]</f>
        <v>MF3555|B1420|Y|Original</v>
      </c>
    </row>
    <row r="13" spans="2:10" x14ac:dyDescent="0.25">
      <c r="B13" t="str">
        <f t="shared" si="0"/>
        <v>B1420|Compatible</v>
      </c>
      <c r="C13" s="2" t="s">
        <v>336</v>
      </c>
      <c r="D13" s="2" t="s">
        <v>5</v>
      </c>
      <c r="E13" s="9" t="s">
        <v>324</v>
      </c>
      <c r="F13" s="2" t="s">
        <v>321</v>
      </c>
      <c r="G13" s="7">
        <v>40</v>
      </c>
      <c r="H13" s="2" t="s">
        <v>12</v>
      </c>
      <c r="I13" s="2" t="s">
        <v>333</v>
      </c>
      <c r="J13" s="2" t="str">
        <f>tblprix[[#This Row],[Modele Machine]]&amp;"|"&amp;tblprix[[#This Row],[Référence]]&amp;"|"&amp;tblprix[[#This Row],[Couleur]]&amp;"|"&amp;tblprix[[#This Row],[Type (Original/Compatible)]]</f>
        <v>MF3555|B1420|Y|Compatible</v>
      </c>
    </row>
    <row r="14" spans="2:10" x14ac:dyDescent="0.25">
      <c r="B14" t="str">
        <f t="shared" si="0"/>
        <v>B1377|Original</v>
      </c>
      <c r="C14" s="2" t="s">
        <v>338</v>
      </c>
      <c r="D14" s="2" t="s">
        <v>4</v>
      </c>
      <c r="E14" s="9" t="s">
        <v>320</v>
      </c>
      <c r="F14" s="2" t="s">
        <v>332</v>
      </c>
      <c r="G14" s="7">
        <v>40</v>
      </c>
      <c r="H14" s="2" t="s">
        <v>57</v>
      </c>
      <c r="I14" s="2" t="s">
        <v>333</v>
      </c>
      <c r="J14" s="2" t="str">
        <f>tblprix[[#This Row],[Modele Machine]]&amp;"|"&amp;tblprix[[#This Row],[Référence]]&amp;"|"&amp;tblprix[[#This Row],[Couleur]]&amp;"|"&amp;tblprix[[#This Row],[Type (Original/Compatible)]]</f>
        <v>MF459|B1377|K|Original</v>
      </c>
    </row>
    <row r="15" spans="2:10" x14ac:dyDescent="0.25">
      <c r="B15" t="str">
        <f t="shared" si="0"/>
        <v>B1378|Original</v>
      </c>
      <c r="C15" s="2" t="s">
        <v>339</v>
      </c>
      <c r="D15" s="2" t="s">
        <v>4</v>
      </c>
      <c r="E15" s="9" t="s">
        <v>322</v>
      </c>
      <c r="F15" s="2" t="s">
        <v>332</v>
      </c>
      <c r="G15" s="7">
        <v>102</v>
      </c>
      <c r="H15" s="2" t="s">
        <v>342</v>
      </c>
      <c r="I15" s="2" t="s">
        <v>333</v>
      </c>
      <c r="J15" s="2" t="str">
        <f>tblprix[[#This Row],[Modele Machine]]&amp;"|"&amp;tblprix[[#This Row],[Référence]]&amp;"|"&amp;tblprix[[#This Row],[Couleur]]&amp;"|"&amp;tblprix[[#This Row],[Type (Original/Compatible)]]</f>
        <v>MF460|B1378|C|Original</v>
      </c>
    </row>
    <row r="16" spans="2:10" x14ac:dyDescent="0.25">
      <c r="B16" t="str">
        <f t="shared" si="0"/>
        <v>B1379|Original</v>
      </c>
      <c r="C16" s="2" t="s">
        <v>340</v>
      </c>
      <c r="D16" s="2" t="s">
        <v>4</v>
      </c>
      <c r="E16" s="9" t="s">
        <v>323</v>
      </c>
      <c r="F16" s="2" t="s">
        <v>332</v>
      </c>
      <c r="G16" s="7">
        <v>102</v>
      </c>
      <c r="H16" s="2" t="s">
        <v>343</v>
      </c>
      <c r="I16" s="2" t="s">
        <v>333</v>
      </c>
      <c r="J16" s="2" t="str">
        <f>tblprix[[#This Row],[Modele Machine]]&amp;"|"&amp;tblprix[[#This Row],[Référence]]&amp;"|"&amp;tblprix[[#This Row],[Couleur]]&amp;"|"&amp;tblprix[[#This Row],[Type (Original/Compatible)]]</f>
        <v>MF461|B1379|M|Original</v>
      </c>
    </row>
    <row r="17" spans="2:10" x14ac:dyDescent="0.25">
      <c r="B17" t="str">
        <f t="shared" si="0"/>
        <v>B1380|Original</v>
      </c>
      <c r="C17" s="2" t="s">
        <v>341</v>
      </c>
      <c r="D17" s="2" t="s">
        <v>4</v>
      </c>
      <c r="E17" s="9" t="s">
        <v>324</v>
      </c>
      <c r="F17" s="2" t="s">
        <v>332</v>
      </c>
      <c r="G17" s="7">
        <v>102</v>
      </c>
      <c r="H17" s="2" t="s">
        <v>344</v>
      </c>
      <c r="I17" s="2" t="s">
        <v>333</v>
      </c>
      <c r="J17" s="2" t="str">
        <f>tblprix[[#This Row],[Modele Machine]]&amp;"|"&amp;tblprix[[#This Row],[Référence]]&amp;"|"&amp;tblprix[[#This Row],[Couleur]]&amp;"|"&amp;tblprix[[#This Row],[Type (Original/Compatible)]]</f>
        <v>MF462|B1380|Y|Original</v>
      </c>
    </row>
    <row r="18" spans="2:10" x14ac:dyDescent="0.25">
      <c r="B18" t="str">
        <f t="shared" si="0"/>
        <v>B1353|Original</v>
      </c>
      <c r="C18" s="2" t="s">
        <v>345</v>
      </c>
      <c r="D18" s="2" t="s">
        <v>4</v>
      </c>
      <c r="E18" s="9" t="s">
        <v>320</v>
      </c>
      <c r="F18" s="2" t="s">
        <v>332</v>
      </c>
      <c r="G18" s="7">
        <v>47</v>
      </c>
      <c r="H18" s="2" t="s">
        <v>481</v>
      </c>
      <c r="I18" s="2" t="s">
        <v>333</v>
      </c>
      <c r="J18" s="2" t="str">
        <f>tblprix[[#This Row],[Modele Machine]]&amp;"|"&amp;tblprix[[#This Row],[Référence]]&amp;"|"&amp;tblprix[[#This Row],[Couleur]]&amp;"|"&amp;tblprix[[#This Row],[Type (Original/Compatible)]]</f>
        <v>MF3301|B1353|K|Original</v>
      </c>
    </row>
    <row r="19" spans="2:10" x14ac:dyDescent="0.25">
      <c r="B19" t="str">
        <f t="shared" si="0"/>
        <v>B1353|Compatible</v>
      </c>
      <c r="C19" s="2" t="s">
        <v>345</v>
      </c>
      <c r="D19" s="2" t="s">
        <v>5</v>
      </c>
      <c r="E19" s="9" t="s">
        <v>320</v>
      </c>
      <c r="F19" s="2" t="s">
        <v>321</v>
      </c>
      <c r="G19" s="7">
        <v>22.3</v>
      </c>
      <c r="H19" s="2" t="s">
        <v>481</v>
      </c>
      <c r="I19" s="2" t="s">
        <v>333</v>
      </c>
      <c r="J19" s="2" t="str">
        <f>tblprix[[#This Row],[Modele Machine]]&amp;"|"&amp;tblprix[[#This Row],[Référence]]&amp;"|"&amp;tblprix[[#This Row],[Couleur]]&amp;"|"&amp;tblprix[[#This Row],[Type (Original/Compatible)]]</f>
        <v>MF3301|B1353|K|Compatible</v>
      </c>
    </row>
    <row r="20" spans="2:10" x14ac:dyDescent="0.25">
      <c r="B20" t="str">
        <f t="shared" si="0"/>
        <v>B135|Original</v>
      </c>
      <c r="C20" s="2" t="s">
        <v>479</v>
      </c>
      <c r="D20" s="2" t="s">
        <v>4</v>
      </c>
      <c r="E20" s="9" t="s">
        <v>322</v>
      </c>
      <c r="F20" s="2" t="s">
        <v>332</v>
      </c>
      <c r="G20" s="7">
        <v>49</v>
      </c>
      <c r="H20" s="2" t="s">
        <v>481</v>
      </c>
      <c r="I20" s="2" t="s">
        <v>333</v>
      </c>
      <c r="J20" s="2" t="str">
        <f>tblprix[[#This Row],[Modele Machine]]&amp;"|"&amp;tblprix[[#This Row],[Référence]]&amp;"|"&amp;tblprix[[#This Row],[Couleur]]&amp;"|"&amp;tblprix[[#This Row],[Type (Original/Compatible)]]</f>
        <v>MF3301|B135|C|Original</v>
      </c>
    </row>
    <row r="21" spans="2:10" x14ac:dyDescent="0.25">
      <c r="B21" t="str">
        <f t="shared" si="0"/>
        <v>B135|Compatible</v>
      </c>
      <c r="C21" s="2" t="s">
        <v>479</v>
      </c>
      <c r="D21" s="2" t="s">
        <v>5</v>
      </c>
      <c r="E21" s="9" t="s">
        <v>322</v>
      </c>
      <c r="F21" s="2" t="s">
        <v>321</v>
      </c>
      <c r="G21" s="7">
        <v>23.3</v>
      </c>
      <c r="H21" s="2" t="s">
        <v>481</v>
      </c>
      <c r="I21" s="2" t="s">
        <v>333</v>
      </c>
      <c r="J21" s="2" t="str">
        <f>tblprix[[#This Row],[Modele Machine]]&amp;"|"&amp;tblprix[[#This Row],[Référence]]&amp;"|"&amp;tblprix[[#This Row],[Couleur]]&amp;"|"&amp;tblprix[[#This Row],[Type (Original/Compatible)]]</f>
        <v>MF3301|B135|C|Compatible</v>
      </c>
    </row>
    <row r="22" spans="2:10" x14ac:dyDescent="0.25">
      <c r="B22" t="str">
        <f t="shared" si="0"/>
        <v>B135|Original</v>
      </c>
      <c r="C22" s="2" t="s">
        <v>479</v>
      </c>
      <c r="D22" s="2" t="s">
        <v>4</v>
      </c>
      <c r="E22" s="9" t="s">
        <v>323</v>
      </c>
      <c r="F22" s="2" t="s">
        <v>332</v>
      </c>
      <c r="G22" s="8">
        <v>49</v>
      </c>
      <c r="H22" s="2" t="s">
        <v>481</v>
      </c>
      <c r="I22" s="2" t="s">
        <v>333</v>
      </c>
      <c r="J22" s="2" t="str">
        <f>tblprix[[#This Row],[Modele Machine]]&amp;"|"&amp;tblprix[[#This Row],[Référence]]&amp;"|"&amp;tblprix[[#This Row],[Couleur]]&amp;"|"&amp;tblprix[[#This Row],[Type (Original/Compatible)]]</f>
        <v>MF3301|B135|M|Original</v>
      </c>
    </row>
    <row r="23" spans="2:10" x14ac:dyDescent="0.25">
      <c r="B23" t="str">
        <f t="shared" si="0"/>
        <v>B135|Compatible</v>
      </c>
      <c r="C23" s="2" t="s">
        <v>479</v>
      </c>
      <c r="D23" s="2" t="s">
        <v>5</v>
      </c>
      <c r="E23" s="9" t="s">
        <v>323</v>
      </c>
      <c r="F23" s="2" t="s">
        <v>321</v>
      </c>
      <c r="G23" s="7">
        <v>23.3</v>
      </c>
      <c r="H23" s="2" t="s">
        <v>481</v>
      </c>
      <c r="I23" s="2" t="s">
        <v>333</v>
      </c>
      <c r="J23" s="2" t="str">
        <f>tblprix[[#This Row],[Modele Machine]]&amp;"|"&amp;tblprix[[#This Row],[Référence]]&amp;"|"&amp;tblprix[[#This Row],[Couleur]]&amp;"|"&amp;tblprix[[#This Row],[Type (Original/Compatible)]]</f>
        <v>MF3301|B135|M|Compatible</v>
      </c>
    </row>
    <row r="24" spans="2:10" x14ac:dyDescent="0.25">
      <c r="B24" t="str">
        <f t="shared" si="0"/>
        <v>B1355|Original</v>
      </c>
      <c r="C24" s="2" t="s">
        <v>346</v>
      </c>
      <c r="D24" s="2" t="s">
        <v>4</v>
      </c>
      <c r="E24" s="9" t="s">
        <v>324</v>
      </c>
      <c r="F24" s="2" t="s">
        <v>332</v>
      </c>
      <c r="G24" s="7">
        <v>42.53</v>
      </c>
      <c r="H24" s="2" t="s">
        <v>481</v>
      </c>
      <c r="I24" s="2" t="s">
        <v>333</v>
      </c>
      <c r="J24" s="2" t="str">
        <f>tblprix[[#This Row],[Modele Machine]]&amp;"|"&amp;tblprix[[#This Row],[Référence]]&amp;"|"&amp;tblprix[[#This Row],[Couleur]]&amp;"|"&amp;tblprix[[#This Row],[Type (Original/Compatible)]]</f>
        <v>MF3301|B1355|Y|Original</v>
      </c>
    </row>
    <row r="25" spans="2:10" x14ac:dyDescent="0.25">
      <c r="B25" t="str">
        <f t="shared" si="0"/>
        <v>B1355|Compatible</v>
      </c>
      <c r="C25" s="2" t="s">
        <v>346</v>
      </c>
      <c r="D25" s="2" t="s">
        <v>5</v>
      </c>
      <c r="E25" s="9" t="s">
        <v>324</v>
      </c>
      <c r="F25" s="2" t="s">
        <v>321</v>
      </c>
      <c r="G25" s="7">
        <v>23.3</v>
      </c>
      <c r="H25" s="2" t="s">
        <v>481</v>
      </c>
      <c r="I25" s="2" t="s">
        <v>333</v>
      </c>
      <c r="J25" s="2" t="str">
        <f>tblprix[[#This Row],[Modele Machine]]&amp;"|"&amp;tblprix[[#This Row],[Référence]]&amp;"|"&amp;tblprix[[#This Row],[Couleur]]&amp;"|"&amp;tblprix[[#This Row],[Type (Original/Compatible)]]</f>
        <v>MF3301|B1355|Y|Compatible</v>
      </c>
    </row>
    <row r="26" spans="2:10" x14ac:dyDescent="0.25">
      <c r="B26" t="str">
        <f t="shared" si="0"/>
        <v>B1353|Original</v>
      </c>
      <c r="C26" s="2" t="s">
        <v>345</v>
      </c>
      <c r="D26" s="2" t="s">
        <v>4</v>
      </c>
      <c r="E26" s="9" t="s">
        <v>320</v>
      </c>
      <c r="F26" s="2" t="s">
        <v>332</v>
      </c>
      <c r="G26" s="7">
        <v>47</v>
      </c>
      <c r="H26" s="2" t="s">
        <v>457</v>
      </c>
      <c r="I26" s="2" t="s">
        <v>333</v>
      </c>
      <c r="J26" s="2" t="str">
        <f>tblprix[[#This Row],[Modele Machine]]&amp;"|"&amp;tblprix[[#This Row],[Référence]]&amp;"|"&amp;tblprix[[#This Row],[Couleur]]&amp;"|"&amp;tblprix[[#This Row],[Type (Original/Compatible)]]</f>
        <v>MF3302|B1353|K|Original</v>
      </c>
    </row>
    <row r="27" spans="2:10" x14ac:dyDescent="0.25">
      <c r="B27" t="str">
        <f t="shared" si="0"/>
        <v>B1353|Compatible</v>
      </c>
      <c r="C27" s="2" t="s">
        <v>345</v>
      </c>
      <c r="D27" s="2" t="s">
        <v>5</v>
      </c>
      <c r="E27" s="9" t="s">
        <v>320</v>
      </c>
      <c r="F27" s="2" t="s">
        <v>321</v>
      </c>
      <c r="G27" s="7">
        <v>22.3</v>
      </c>
      <c r="H27" s="2" t="s">
        <v>457</v>
      </c>
      <c r="I27" s="2" t="s">
        <v>333</v>
      </c>
      <c r="J27" s="2" t="str">
        <f>tblprix[[#This Row],[Modele Machine]]&amp;"|"&amp;tblprix[[#This Row],[Référence]]&amp;"|"&amp;tblprix[[#This Row],[Couleur]]&amp;"|"&amp;tblprix[[#This Row],[Type (Original/Compatible)]]</f>
        <v>MF3302|B1353|K|Compatible</v>
      </c>
    </row>
    <row r="28" spans="2:10" x14ac:dyDescent="0.25">
      <c r="B28" t="str">
        <f t="shared" si="0"/>
        <v>B135|Original</v>
      </c>
      <c r="C28" s="2" t="s">
        <v>479</v>
      </c>
      <c r="D28" s="2" t="s">
        <v>4</v>
      </c>
      <c r="E28" s="9" t="s">
        <v>322</v>
      </c>
      <c r="F28" s="2" t="s">
        <v>332</v>
      </c>
      <c r="G28" s="7">
        <v>49</v>
      </c>
      <c r="H28" s="2" t="s">
        <v>457</v>
      </c>
      <c r="I28" s="2" t="s">
        <v>333</v>
      </c>
      <c r="J28" s="2" t="str">
        <f>tblprix[[#This Row],[Modele Machine]]&amp;"|"&amp;tblprix[[#This Row],[Référence]]&amp;"|"&amp;tblprix[[#This Row],[Couleur]]&amp;"|"&amp;tblprix[[#This Row],[Type (Original/Compatible)]]</f>
        <v>MF3302|B135|C|Original</v>
      </c>
    </row>
    <row r="29" spans="2:10" x14ac:dyDescent="0.25">
      <c r="B29" t="str">
        <f t="shared" si="0"/>
        <v>B135|Compatible</v>
      </c>
      <c r="C29" s="2" t="s">
        <v>479</v>
      </c>
      <c r="D29" s="2" t="s">
        <v>5</v>
      </c>
      <c r="E29" s="9" t="s">
        <v>322</v>
      </c>
      <c r="F29" s="2" t="s">
        <v>321</v>
      </c>
      <c r="G29" s="7">
        <v>23.3</v>
      </c>
      <c r="H29" s="2" t="s">
        <v>457</v>
      </c>
      <c r="I29" s="2" t="s">
        <v>333</v>
      </c>
      <c r="J29" s="2" t="str">
        <f>tblprix[[#This Row],[Modele Machine]]&amp;"|"&amp;tblprix[[#This Row],[Référence]]&amp;"|"&amp;tblprix[[#This Row],[Couleur]]&amp;"|"&amp;tblprix[[#This Row],[Type (Original/Compatible)]]</f>
        <v>MF3302|B135|C|Compatible</v>
      </c>
    </row>
    <row r="30" spans="2:10" x14ac:dyDescent="0.25">
      <c r="B30" t="str">
        <f t="shared" si="0"/>
        <v>B135|Original</v>
      </c>
      <c r="C30" s="2" t="s">
        <v>479</v>
      </c>
      <c r="D30" s="2" t="s">
        <v>4</v>
      </c>
      <c r="E30" s="9" t="s">
        <v>323</v>
      </c>
      <c r="F30" s="2" t="s">
        <v>332</v>
      </c>
      <c r="G30" s="8">
        <v>49</v>
      </c>
      <c r="H30" s="2" t="s">
        <v>457</v>
      </c>
      <c r="I30" s="2" t="s">
        <v>333</v>
      </c>
      <c r="J30" s="2" t="str">
        <f>tblprix[[#This Row],[Modele Machine]]&amp;"|"&amp;tblprix[[#This Row],[Référence]]&amp;"|"&amp;tblprix[[#This Row],[Couleur]]&amp;"|"&amp;tblprix[[#This Row],[Type (Original/Compatible)]]</f>
        <v>MF3302|B135|M|Original</v>
      </c>
    </row>
    <row r="31" spans="2:10" x14ac:dyDescent="0.25">
      <c r="B31" t="str">
        <f t="shared" si="0"/>
        <v>B135|Compatible</v>
      </c>
      <c r="C31" s="2" t="s">
        <v>479</v>
      </c>
      <c r="D31" s="2" t="s">
        <v>5</v>
      </c>
      <c r="E31" s="9" t="s">
        <v>323</v>
      </c>
      <c r="F31" s="2" t="s">
        <v>321</v>
      </c>
      <c r="G31" s="7">
        <v>23.3</v>
      </c>
      <c r="H31" s="2" t="s">
        <v>457</v>
      </c>
      <c r="I31" s="2" t="s">
        <v>333</v>
      </c>
      <c r="J31" s="2" t="str">
        <f>tblprix[[#This Row],[Modele Machine]]&amp;"|"&amp;tblprix[[#This Row],[Référence]]&amp;"|"&amp;tblprix[[#This Row],[Couleur]]&amp;"|"&amp;tblprix[[#This Row],[Type (Original/Compatible)]]</f>
        <v>MF3302|B135|M|Compatible</v>
      </c>
    </row>
    <row r="32" spans="2:10" x14ac:dyDescent="0.25">
      <c r="B32" t="str">
        <f t="shared" si="0"/>
        <v>B1355|Original</v>
      </c>
      <c r="C32" s="2" t="s">
        <v>346</v>
      </c>
      <c r="D32" s="2" t="s">
        <v>4</v>
      </c>
      <c r="E32" s="9" t="s">
        <v>324</v>
      </c>
      <c r="F32" s="2" t="s">
        <v>332</v>
      </c>
      <c r="G32" s="7">
        <v>42.53</v>
      </c>
      <c r="H32" s="2" t="s">
        <v>457</v>
      </c>
      <c r="I32" s="2" t="s">
        <v>333</v>
      </c>
      <c r="J32" s="2" t="str">
        <f>tblprix[[#This Row],[Modele Machine]]&amp;"|"&amp;tblprix[[#This Row],[Référence]]&amp;"|"&amp;tblprix[[#This Row],[Couleur]]&amp;"|"&amp;tblprix[[#This Row],[Type (Original/Compatible)]]</f>
        <v>MF3302|B1355|Y|Original</v>
      </c>
    </row>
    <row r="33" spans="2:10" x14ac:dyDescent="0.25">
      <c r="B33" t="str">
        <f t="shared" si="0"/>
        <v>B1355|Compatible</v>
      </c>
      <c r="C33" s="2" t="s">
        <v>346</v>
      </c>
      <c r="D33" s="2" t="s">
        <v>5</v>
      </c>
      <c r="E33" s="9" t="s">
        <v>324</v>
      </c>
      <c r="F33" s="2" t="s">
        <v>321</v>
      </c>
      <c r="G33" s="7">
        <v>23.3</v>
      </c>
      <c r="H33" s="2" t="s">
        <v>457</v>
      </c>
      <c r="I33" s="2" t="s">
        <v>333</v>
      </c>
      <c r="J33" s="2" t="str">
        <f>tblprix[[#This Row],[Modele Machine]]&amp;"|"&amp;tblprix[[#This Row],[Référence]]&amp;"|"&amp;tblprix[[#This Row],[Couleur]]&amp;"|"&amp;tblprix[[#This Row],[Type (Original/Compatible)]]</f>
        <v>MF3302|B1355|Y|Compatible</v>
      </c>
    </row>
    <row r="34" spans="2:10" x14ac:dyDescent="0.25">
      <c r="B34" t="str">
        <f t="shared" ref="B34:B66" si="1">C34&amp;"|"&amp;D34</f>
        <v>B1337|Original</v>
      </c>
      <c r="C34" s="2" t="s">
        <v>348</v>
      </c>
      <c r="D34" s="2" t="s">
        <v>4</v>
      </c>
      <c r="E34" s="9" t="s">
        <v>320</v>
      </c>
      <c r="F34" s="2" t="s">
        <v>332</v>
      </c>
      <c r="G34" s="7">
        <v>26</v>
      </c>
      <c r="H34" s="2" t="s">
        <v>347</v>
      </c>
      <c r="I34" s="2" t="s">
        <v>333</v>
      </c>
      <c r="J34" s="2" t="str">
        <f>tblprix[[#This Row],[Modele Machine]]&amp;"|"&amp;tblprix[[#This Row],[Référence]]&amp;"|"&amp;tblprix[[#This Row],[Couleur]]&amp;"|"&amp;tblprix[[#This Row],[Type (Original/Compatible)]]</f>
        <v>MF3303|B1337|K|Original</v>
      </c>
    </row>
    <row r="35" spans="2:10" x14ac:dyDescent="0.25">
      <c r="B35" t="str">
        <f t="shared" si="1"/>
        <v>B1336|Original</v>
      </c>
      <c r="C35" s="2" t="s">
        <v>349</v>
      </c>
      <c r="D35" s="2" t="s">
        <v>4</v>
      </c>
      <c r="E35" s="9" t="s">
        <v>322</v>
      </c>
      <c r="F35" s="2" t="s">
        <v>332</v>
      </c>
      <c r="G35" s="7">
        <v>32</v>
      </c>
      <c r="H35" s="2" t="s">
        <v>347</v>
      </c>
      <c r="I35" s="2" t="s">
        <v>333</v>
      </c>
      <c r="J35" s="2" t="str">
        <f>tblprix[[#This Row],[Modele Machine]]&amp;"|"&amp;tblprix[[#This Row],[Référence]]&amp;"|"&amp;tblprix[[#This Row],[Couleur]]&amp;"|"&amp;tblprix[[#This Row],[Type (Original/Compatible)]]</f>
        <v>MF3303|B1336|C|Original</v>
      </c>
    </row>
    <row r="36" spans="2:10" x14ac:dyDescent="0.25">
      <c r="B36" t="str">
        <f t="shared" si="1"/>
        <v>B1338|Original</v>
      </c>
      <c r="C36" s="2" t="s">
        <v>350</v>
      </c>
      <c r="D36" s="2" t="s">
        <v>4</v>
      </c>
      <c r="E36" s="9" t="s">
        <v>323</v>
      </c>
      <c r="F36" s="2" t="s">
        <v>332</v>
      </c>
      <c r="G36" s="7">
        <v>32</v>
      </c>
      <c r="H36" s="2" t="s">
        <v>347</v>
      </c>
      <c r="I36" s="2" t="s">
        <v>333</v>
      </c>
      <c r="J36" s="2" t="str">
        <f>tblprix[[#This Row],[Modele Machine]]&amp;"|"&amp;tblprix[[#This Row],[Référence]]&amp;"|"&amp;tblprix[[#This Row],[Couleur]]&amp;"|"&amp;tblprix[[#This Row],[Type (Original/Compatible)]]</f>
        <v>MF3303|B1338|M|Original</v>
      </c>
    </row>
    <row r="37" spans="2:10" x14ac:dyDescent="0.25">
      <c r="B37" t="str">
        <f t="shared" si="1"/>
        <v>B1339|Original</v>
      </c>
      <c r="C37" s="2" t="s">
        <v>351</v>
      </c>
      <c r="D37" s="2" t="s">
        <v>4</v>
      </c>
      <c r="E37" s="9" t="s">
        <v>324</v>
      </c>
      <c r="F37" s="2" t="s">
        <v>332</v>
      </c>
      <c r="G37" s="7">
        <v>32</v>
      </c>
      <c r="H37" s="2" t="s">
        <v>347</v>
      </c>
      <c r="I37" s="2" t="s">
        <v>333</v>
      </c>
      <c r="J37" s="2" t="str">
        <f>tblprix[[#This Row],[Modele Machine]]&amp;"|"&amp;tblprix[[#This Row],[Référence]]&amp;"|"&amp;tblprix[[#This Row],[Couleur]]&amp;"|"&amp;tblprix[[#This Row],[Type (Original/Compatible)]]</f>
        <v>MF3303|B1339|Y|Original</v>
      </c>
    </row>
    <row r="38" spans="2:10" x14ac:dyDescent="0.25">
      <c r="B38" t="str">
        <f t="shared" si="1"/>
        <v>T1150|Compatible</v>
      </c>
      <c r="C38" s="2" t="s">
        <v>354</v>
      </c>
      <c r="D38" s="2" t="s">
        <v>5</v>
      </c>
      <c r="E38" s="9" t="s">
        <v>320</v>
      </c>
      <c r="F38" s="2" t="s">
        <v>321</v>
      </c>
      <c r="G38" s="7">
        <v>34</v>
      </c>
      <c r="H38" s="2" t="s">
        <v>352</v>
      </c>
      <c r="I38" s="2" t="s">
        <v>353</v>
      </c>
      <c r="J38" s="2" t="str">
        <f>tblprix[[#This Row],[Modele Machine]]&amp;"|"&amp;tblprix[[#This Row],[Référence]]&amp;"|"&amp;tblprix[[#This Row],[Couleur]]&amp;"|"&amp;tblprix[[#This Row],[Type (Original/Compatible)]]</f>
        <v>M2135|T1150|K|Compatible</v>
      </c>
    </row>
    <row r="39" spans="2:10" x14ac:dyDescent="0.25">
      <c r="B39" t="str">
        <f t="shared" si="1"/>
        <v>TK1160|Compatible</v>
      </c>
      <c r="C39" s="2" t="s">
        <v>357</v>
      </c>
      <c r="D39" s="2" t="s">
        <v>5</v>
      </c>
      <c r="E39" s="9" t="s">
        <v>320</v>
      </c>
      <c r="F39" s="2" t="s">
        <v>321</v>
      </c>
      <c r="G39" s="7">
        <v>35.450000000000003</v>
      </c>
      <c r="H39" s="2" t="s">
        <v>355</v>
      </c>
      <c r="I39" s="2" t="s">
        <v>353</v>
      </c>
      <c r="J39" s="2" t="str">
        <f>tblprix[[#This Row],[Modele Machine]]&amp;"|"&amp;tblprix[[#This Row],[Référence]]&amp;"|"&amp;tblprix[[#This Row],[Couleur]]&amp;"|"&amp;tblprix[[#This Row],[Type (Original/Compatible)]]</f>
        <v>P2040|TK1160|K|Compatible</v>
      </c>
    </row>
    <row r="40" spans="2:10" x14ac:dyDescent="0.25">
      <c r="B40" t="str">
        <f t="shared" si="1"/>
        <v>TK1170|Compatible</v>
      </c>
      <c r="C40" s="2" t="s">
        <v>358</v>
      </c>
      <c r="D40" s="2" t="s">
        <v>5</v>
      </c>
      <c r="E40" s="9" t="s">
        <v>320</v>
      </c>
      <c r="F40" s="2" t="s">
        <v>321</v>
      </c>
      <c r="G40" s="7">
        <v>32.4</v>
      </c>
      <c r="H40" s="2" t="s">
        <v>356</v>
      </c>
      <c r="I40" s="2" t="s">
        <v>353</v>
      </c>
      <c r="J40" s="2" t="str">
        <f>tblprix[[#This Row],[Modele Machine]]&amp;"|"&amp;tblprix[[#This Row],[Référence]]&amp;"|"&amp;tblprix[[#This Row],[Couleur]]&amp;"|"&amp;tblprix[[#This Row],[Type (Original/Compatible)]]</f>
        <v>M2040|TK1170|K|Compatible</v>
      </c>
    </row>
    <row r="41" spans="2:10" x14ac:dyDescent="0.25">
      <c r="B41" t="str">
        <f t="shared" si="1"/>
        <v>TK3060|Compatible</v>
      </c>
      <c r="C41" s="2" t="s">
        <v>359</v>
      </c>
      <c r="D41" s="2" t="s">
        <v>5</v>
      </c>
      <c r="E41" s="9" t="s">
        <v>320</v>
      </c>
      <c r="F41" s="2" t="s">
        <v>360</v>
      </c>
      <c r="G41" s="7">
        <v>40.36</v>
      </c>
      <c r="H41" s="2" t="s">
        <v>48</v>
      </c>
      <c r="I41" s="2" t="s">
        <v>353</v>
      </c>
      <c r="J41" s="2" t="str">
        <f>tblprix[[#This Row],[Modele Machine]]&amp;"|"&amp;tblprix[[#This Row],[Référence]]&amp;"|"&amp;tblprix[[#This Row],[Couleur]]&amp;"|"&amp;tblprix[[#This Row],[Type (Original/Compatible)]]</f>
        <v>M3145|TK3060|K|Compatible</v>
      </c>
    </row>
    <row r="42" spans="2:10" x14ac:dyDescent="0.25">
      <c r="B42" t="str">
        <f>C42&amp;"|"&amp;D42</f>
        <v>TK3160|Compatible</v>
      </c>
      <c r="C42" s="2" t="s">
        <v>509</v>
      </c>
      <c r="D42" s="2" t="s">
        <v>5</v>
      </c>
      <c r="E42" s="9" t="s">
        <v>320</v>
      </c>
      <c r="F42" s="2" t="s">
        <v>332</v>
      </c>
      <c r="G42" s="7">
        <v>31</v>
      </c>
      <c r="H42" s="2" t="s">
        <v>48</v>
      </c>
      <c r="I42" s="2" t="s">
        <v>353</v>
      </c>
      <c r="J42" s="2" t="str">
        <f>tblprix[[#This Row],[Modele Machine]]&amp;"|"&amp;tblprix[[#This Row],[Référence]]&amp;"|"&amp;tblprix[[#This Row],[Couleur]]&amp;"|"&amp;tblprix[[#This Row],[Type (Original/Compatible)]]</f>
        <v>M3145|TK3160|K|Compatible</v>
      </c>
    </row>
    <row r="43" spans="2:10" x14ac:dyDescent="0.25">
      <c r="B43" t="str">
        <f t="shared" si="1"/>
        <v>TK5195|Original</v>
      </c>
      <c r="C43" s="2" t="s">
        <v>361</v>
      </c>
      <c r="D43" s="2" t="s">
        <v>4</v>
      </c>
      <c r="E43" s="9" t="s">
        <v>320</v>
      </c>
      <c r="F43" s="2" t="s">
        <v>332</v>
      </c>
      <c r="G43" s="7">
        <v>55.2</v>
      </c>
      <c r="H43" s="2" t="s">
        <v>155</v>
      </c>
      <c r="I43" s="2" t="s">
        <v>353</v>
      </c>
      <c r="J43" s="2" t="str">
        <f>tblprix[[#This Row],[Modele Machine]]&amp;"|"&amp;tblprix[[#This Row],[Référence]]&amp;"|"&amp;tblprix[[#This Row],[Couleur]]&amp;"|"&amp;tblprix[[#This Row],[Type (Original/Compatible)]]</f>
        <v>306Ci|TK5195|K|Original</v>
      </c>
    </row>
    <row r="44" spans="2:10" x14ac:dyDescent="0.25">
      <c r="B44" t="str">
        <f t="shared" si="1"/>
        <v>TK5195|Compatible</v>
      </c>
      <c r="C44" s="2" t="s">
        <v>361</v>
      </c>
      <c r="D44" s="2" t="s">
        <v>5</v>
      </c>
      <c r="E44" s="9" t="s">
        <v>320</v>
      </c>
      <c r="F44" s="2" t="s">
        <v>321</v>
      </c>
      <c r="G44" s="7">
        <v>32.200000000000003</v>
      </c>
      <c r="H44" s="2" t="s">
        <v>155</v>
      </c>
      <c r="I44" s="2" t="s">
        <v>353</v>
      </c>
      <c r="J44" s="2" t="str">
        <f>tblprix[[#This Row],[Modele Machine]]&amp;"|"&amp;tblprix[[#This Row],[Référence]]&amp;"|"&amp;tblprix[[#This Row],[Couleur]]&amp;"|"&amp;tblprix[[#This Row],[Type (Original/Compatible)]]</f>
        <v>306Ci|TK5195|K|Compatible</v>
      </c>
    </row>
    <row r="45" spans="2:10" x14ac:dyDescent="0.25">
      <c r="B45" t="str">
        <f t="shared" si="1"/>
        <v>TK5195C|Original</v>
      </c>
      <c r="C45" s="2" t="s">
        <v>362</v>
      </c>
      <c r="D45" s="2" t="s">
        <v>4</v>
      </c>
      <c r="E45" s="9" t="s">
        <v>322</v>
      </c>
      <c r="F45" s="2" t="s">
        <v>332</v>
      </c>
      <c r="G45" s="7">
        <v>94.5</v>
      </c>
      <c r="H45" s="2" t="s">
        <v>155</v>
      </c>
      <c r="I45" s="2" t="s">
        <v>353</v>
      </c>
      <c r="J45" s="2" t="str">
        <f>tblprix[[#This Row],[Modele Machine]]&amp;"|"&amp;tblprix[[#This Row],[Référence]]&amp;"|"&amp;tblprix[[#This Row],[Couleur]]&amp;"|"&amp;tblprix[[#This Row],[Type (Original/Compatible)]]</f>
        <v>306Ci|TK5195C|C|Original</v>
      </c>
    </row>
    <row r="46" spans="2:10" x14ac:dyDescent="0.25">
      <c r="B46" t="str">
        <f t="shared" si="1"/>
        <v>TK5195C|Compatible</v>
      </c>
      <c r="C46" s="2" t="s">
        <v>362</v>
      </c>
      <c r="D46" s="2" t="s">
        <v>5</v>
      </c>
      <c r="E46" s="9" t="s">
        <v>322</v>
      </c>
      <c r="F46" s="2" t="s">
        <v>321</v>
      </c>
      <c r="G46" s="7">
        <v>45.55</v>
      </c>
      <c r="H46" s="2" t="s">
        <v>155</v>
      </c>
      <c r="I46" s="2" t="s">
        <v>353</v>
      </c>
      <c r="J46" s="2" t="str">
        <f>tblprix[[#This Row],[Modele Machine]]&amp;"|"&amp;tblprix[[#This Row],[Référence]]&amp;"|"&amp;tblprix[[#This Row],[Couleur]]&amp;"|"&amp;tblprix[[#This Row],[Type (Original/Compatible)]]</f>
        <v>306Ci|TK5195C|C|Compatible</v>
      </c>
    </row>
    <row r="47" spans="2:10" x14ac:dyDescent="0.25">
      <c r="B47" t="str">
        <f t="shared" si="1"/>
        <v>TK5195M|Original</v>
      </c>
      <c r="C47" s="2" t="s">
        <v>363</v>
      </c>
      <c r="D47" s="2" t="s">
        <v>4</v>
      </c>
      <c r="E47" s="9" t="s">
        <v>323</v>
      </c>
      <c r="F47" s="2" t="s">
        <v>332</v>
      </c>
      <c r="G47" s="7">
        <v>94.5</v>
      </c>
      <c r="H47" s="2" t="s">
        <v>155</v>
      </c>
      <c r="I47" s="2" t="s">
        <v>353</v>
      </c>
      <c r="J47" s="2" t="str">
        <f>tblprix[[#This Row],[Modele Machine]]&amp;"|"&amp;tblprix[[#This Row],[Référence]]&amp;"|"&amp;tblprix[[#This Row],[Couleur]]&amp;"|"&amp;tblprix[[#This Row],[Type (Original/Compatible)]]</f>
        <v>306Ci|TK5195M|M|Original</v>
      </c>
    </row>
    <row r="48" spans="2:10" x14ac:dyDescent="0.25">
      <c r="B48" t="str">
        <f t="shared" si="1"/>
        <v>TK5195M|Compatible</v>
      </c>
      <c r="C48" s="2" t="s">
        <v>363</v>
      </c>
      <c r="D48" s="2" t="s">
        <v>5</v>
      </c>
      <c r="E48" s="9" t="s">
        <v>323</v>
      </c>
      <c r="F48" s="2" t="s">
        <v>321</v>
      </c>
      <c r="G48" s="7">
        <v>45.55</v>
      </c>
      <c r="H48" s="2" t="s">
        <v>155</v>
      </c>
      <c r="I48" s="2" t="s">
        <v>353</v>
      </c>
      <c r="J48" s="2" t="str">
        <f>tblprix[[#This Row],[Modele Machine]]&amp;"|"&amp;tblprix[[#This Row],[Référence]]&amp;"|"&amp;tblprix[[#This Row],[Couleur]]&amp;"|"&amp;tblprix[[#This Row],[Type (Original/Compatible)]]</f>
        <v>306Ci|TK5195M|M|Compatible</v>
      </c>
    </row>
    <row r="49" spans="2:10" x14ac:dyDescent="0.25">
      <c r="B49" t="str">
        <f t="shared" si="1"/>
        <v>TK5195Y|Original</v>
      </c>
      <c r="C49" s="2" t="s">
        <v>364</v>
      </c>
      <c r="D49" s="2" t="s">
        <v>4</v>
      </c>
      <c r="E49" s="9" t="s">
        <v>324</v>
      </c>
      <c r="F49" s="2" t="s">
        <v>332</v>
      </c>
      <c r="G49" s="7">
        <v>94.5</v>
      </c>
      <c r="H49" s="2" t="s">
        <v>155</v>
      </c>
      <c r="I49" s="2" t="s">
        <v>353</v>
      </c>
      <c r="J49" s="2" t="str">
        <f>tblprix[[#This Row],[Modele Machine]]&amp;"|"&amp;tblprix[[#This Row],[Référence]]&amp;"|"&amp;tblprix[[#This Row],[Couleur]]&amp;"|"&amp;tblprix[[#This Row],[Type (Original/Compatible)]]</f>
        <v>306Ci|TK5195Y|Y|Original</v>
      </c>
    </row>
    <row r="50" spans="2:10" x14ac:dyDescent="0.25">
      <c r="B50" t="str">
        <f t="shared" si="1"/>
        <v>TK5195Y|Compatible</v>
      </c>
      <c r="C50" s="2" t="s">
        <v>364</v>
      </c>
      <c r="D50" s="2" t="s">
        <v>5</v>
      </c>
      <c r="E50" s="9" t="s">
        <v>324</v>
      </c>
      <c r="F50" s="2" t="s">
        <v>321</v>
      </c>
      <c r="G50" s="7">
        <v>45.55</v>
      </c>
      <c r="H50" s="2" t="s">
        <v>155</v>
      </c>
      <c r="I50" s="2" t="s">
        <v>353</v>
      </c>
      <c r="J50" s="2" t="str">
        <f>tblprix[[#This Row],[Modele Machine]]&amp;"|"&amp;tblprix[[#This Row],[Référence]]&amp;"|"&amp;tblprix[[#This Row],[Couleur]]&amp;"|"&amp;tblprix[[#This Row],[Type (Original/Compatible)]]</f>
        <v>306Ci|TK5195Y|Y|Compatible</v>
      </c>
    </row>
    <row r="51" spans="2:10" x14ac:dyDescent="0.25">
      <c r="B51" t="str">
        <f t="shared" si="1"/>
        <v>TK8515K|Original</v>
      </c>
      <c r="C51" s="2" t="s">
        <v>365</v>
      </c>
      <c r="D51" s="2" t="s">
        <v>4</v>
      </c>
      <c r="E51" s="9" t="s">
        <v>320</v>
      </c>
      <c r="F51" s="2" t="s">
        <v>332</v>
      </c>
      <c r="G51" s="7">
        <v>75</v>
      </c>
      <c r="H51" s="2" t="s">
        <v>506</v>
      </c>
      <c r="I51" s="2" t="s">
        <v>353</v>
      </c>
      <c r="J51" s="2" t="str">
        <f>tblprix[[#This Row],[Modele Machine]]&amp;"|"&amp;tblprix[[#This Row],[Référence]]&amp;"|"&amp;tblprix[[#This Row],[Couleur]]&amp;"|"&amp;tblprix[[#This Row],[Type (Original/Compatible)]]</f>
        <v>5052/5053Ci|TK8515K|K|Original</v>
      </c>
    </row>
    <row r="52" spans="2:10" x14ac:dyDescent="0.25">
      <c r="B52" t="str">
        <f t="shared" si="1"/>
        <v>TK8515K|Compatible</v>
      </c>
      <c r="C52" s="2" t="s">
        <v>365</v>
      </c>
      <c r="D52" s="2" t="s">
        <v>5</v>
      </c>
      <c r="E52" s="9" t="s">
        <v>320</v>
      </c>
      <c r="F52" s="2" t="s">
        <v>360</v>
      </c>
      <c r="G52" s="7">
        <v>35.549999999999997</v>
      </c>
      <c r="H52" s="2" t="s">
        <v>506</v>
      </c>
      <c r="I52" s="2" t="s">
        <v>353</v>
      </c>
      <c r="J52" s="2" t="str">
        <f>tblprix[[#This Row],[Modele Machine]]&amp;"|"&amp;tblprix[[#This Row],[Référence]]&amp;"|"&amp;tblprix[[#This Row],[Couleur]]&amp;"|"&amp;tblprix[[#This Row],[Type (Original/Compatible)]]</f>
        <v>5052/5053Ci|TK8515K|K|Compatible</v>
      </c>
    </row>
    <row r="53" spans="2:10" x14ac:dyDescent="0.25">
      <c r="B53" t="str">
        <f t="shared" si="1"/>
        <v>TK8515C|Original</v>
      </c>
      <c r="C53" s="2" t="s">
        <v>366</v>
      </c>
      <c r="D53" s="2" t="s">
        <v>4</v>
      </c>
      <c r="E53" s="9" t="s">
        <v>322</v>
      </c>
      <c r="F53" s="2" t="s">
        <v>332</v>
      </c>
      <c r="G53" s="7">
        <v>127.51</v>
      </c>
      <c r="H53" s="2" t="s">
        <v>506</v>
      </c>
      <c r="I53" s="2" t="s">
        <v>353</v>
      </c>
      <c r="J53" s="2" t="str">
        <f>tblprix[[#This Row],[Modele Machine]]&amp;"|"&amp;tblprix[[#This Row],[Référence]]&amp;"|"&amp;tblprix[[#This Row],[Couleur]]&amp;"|"&amp;tblprix[[#This Row],[Type (Original/Compatible)]]</f>
        <v>5052/5053Ci|TK8515C|C|Original</v>
      </c>
    </row>
    <row r="54" spans="2:10" x14ac:dyDescent="0.25">
      <c r="B54" t="str">
        <f t="shared" si="1"/>
        <v>TK8515C|Compatible</v>
      </c>
      <c r="C54" s="2" t="s">
        <v>366</v>
      </c>
      <c r="D54" s="2" t="s">
        <v>5</v>
      </c>
      <c r="E54" s="9" t="s">
        <v>322</v>
      </c>
      <c r="F54" s="2" t="s">
        <v>321</v>
      </c>
      <c r="G54" s="7">
        <v>59.75</v>
      </c>
      <c r="H54" s="2" t="s">
        <v>506</v>
      </c>
      <c r="I54" s="2" t="s">
        <v>353</v>
      </c>
      <c r="J54" s="2" t="str">
        <f>tblprix[[#This Row],[Modele Machine]]&amp;"|"&amp;tblprix[[#This Row],[Référence]]&amp;"|"&amp;tblprix[[#This Row],[Couleur]]&amp;"|"&amp;tblprix[[#This Row],[Type (Original/Compatible)]]</f>
        <v>5052/5053Ci|TK8515C|C|Compatible</v>
      </c>
    </row>
    <row r="55" spans="2:10" x14ac:dyDescent="0.25">
      <c r="B55" t="str">
        <f t="shared" si="1"/>
        <v>TK8515K|Original</v>
      </c>
      <c r="C55" s="2" t="s">
        <v>365</v>
      </c>
      <c r="D55" s="2" t="s">
        <v>4</v>
      </c>
      <c r="E55" s="9" t="s">
        <v>323</v>
      </c>
      <c r="F55" s="2" t="s">
        <v>332</v>
      </c>
      <c r="G55" s="7">
        <v>127.51</v>
      </c>
      <c r="H55" s="2" t="s">
        <v>506</v>
      </c>
      <c r="I55" s="2" t="s">
        <v>353</v>
      </c>
      <c r="J55" s="2" t="str">
        <f>tblprix[[#This Row],[Modele Machine]]&amp;"|"&amp;tblprix[[#This Row],[Référence]]&amp;"|"&amp;tblprix[[#This Row],[Couleur]]&amp;"|"&amp;tblprix[[#This Row],[Type (Original/Compatible)]]</f>
        <v>5052/5053Ci|TK8515K|M|Original</v>
      </c>
    </row>
    <row r="56" spans="2:10" x14ac:dyDescent="0.25">
      <c r="B56" t="str">
        <f t="shared" si="1"/>
        <v>TK8515M|Compatible</v>
      </c>
      <c r="C56" s="2" t="s">
        <v>367</v>
      </c>
      <c r="D56" s="2" t="s">
        <v>5</v>
      </c>
      <c r="E56" s="9" t="s">
        <v>323</v>
      </c>
      <c r="F56" s="2" t="s">
        <v>321</v>
      </c>
      <c r="G56" s="7">
        <v>59.75</v>
      </c>
      <c r="H56" s="2" t="s">
        <v>506</v>
      </c>
      <c r="I56" s="2" t="s">
        <v>353</v>
      </c>
      <c r="J56" s="2" t="str">
        <f>tblprix[[#This Row],[Modele Machine]]&amp;"|"&amp;tblprix[[#This Row],[Référence]]&amp;"|"&amp;tblprix[[#This Row],[Couleur]]&amp;"|"&amp;tblprix[[#This Row],[Type (Original/Compatible)]]</f>
        <v>5052/5053Ci|TK8515M|M|Compatible</v>
      </c>
    </row>
    <row r="57" spans="2:10" x14ac:dyDescent="0.25">
      <c r="B57" t="str">
        <f t="shared" si="1"/>
        <v>TK8515Y|Original</v>
      </c>
      <c r="C57" s="2" t="s">
        <v>368</v>
      </c>
      <c r="D57" s="2" t="s">
        <v>4</v>
      </c>
      <c r="E57" s="9" t="s">
        <v>324</v>
      </c>
      <c r="F57" s="2" t="s">
        <v>332</v>
      </c>
      <c r="G57" s="7">
        <v>127.51</v>
      </c>
      <c r="H57" s="2" t="s">
        <v>506</v>
      </c>
      <c r="I57" s="2" t="s">
        <v>353</v>
      </c>
      <c r="J57" s="2" t="str">
        <f>tblprix[[#This Row],[Modele Machine]]&amp;"|"&amp;tblprix[[#This Row],[Référence]]&amp;"|"&amp;tblprix[[#This Row],[Couleur]]&amp;"|"&amp;tblprix[[#This Row],[Type (Original/Compatible)]]</f>
        <v>5052/5053Ci|TK8515Y|Y|Original</v>
      </c>
    </row>
    <row r="58" spans="2:10" x14ac:dyDescent="0.25">
      <c r="B58" t="str">
        <f t="shared" si="1"/>
        <v>TK8515Y|Compatible</v>
      </c>
      <c r="C58" s="2" t="s">
        <v>368</v>
      </c>
      <c r="D58" s="2" t="s">
        <v>5</v>
      </c>
      <c r="E58" s="9" t="s">
        <v>324</v>
      </c>
      <c r="F58" s="2" t="s">
        <v>321</v>
      </c>
      <c r="G58" s="7">
        <v>59.75</v>
      </c>
      <c r="H58" s="2" t="s">
        <v>506</v>
      </c>
      <c r="I58" s="2" t="s">
        <v>353</v>
      </c>
      <c r="J58" s="2" t="str">
        <f>tblprix[[#This Row],[Modele Machine]]&amp;"|"&amp;tblprix[[#This Row],[Référence]]&amp;"|"&amp;tblprix[[#This Row],[Couleur]]&amp;"|"&amp;tblprix[[#This Row],[Type (Original/Compatible)]]</f>
        <v>5052/5053Ci|TK8515Y|Y|Compatible</v>
      </c>
    </row>
    <row r="59" spans="2:10" x14ac:dyDescent="0.25">
      <c r="B59" t="str">
        <f t="shared" si="1"/>
        <v>TK8555K|Original</v>
      </c>
      <c r="C59" s="2" t="s">
        <v>369</v>
      </c>
      <c r="D59" s="2" t="s">
        <v>4</v>
      </c>
      <c r="E59" s="9" t="s">
        <v>320</v>
      </c>
      <c r="F59" s="2" t="s">
        <v>332</v>
      </c>
      <c r="G59" s="7">
        <v>75</v>
      </c>
      <c r="H59" s="2" t="s">
        <v>512</v>
      </c>
      <c r="I59" s="2" t="s">
        <v>353</v>
      </c>
      <c r="J59" s="2" t="str">
        <f>tblprix[[#This Row],[Modele Machine]]&amp;"|"&amp;tblprix[[#This Row],[Référence]]&amp;"|"&amp;tblprix[[#This Row],[Couleur]]&amp;"|"&amp;tblprix[[#This Row],[Type (Original/Compatible)]]</f>
        <v>6054CI/5064CI/5054|TK8555K|K|Original</v>
      </c>
    </row>
    <row r="60" spans="2:10" x14ac:dyDescent="0.25">
      <c r="B60" t="str">
        <f t="shared" si="1"/>
        <v>TK8555C|Original</v>
      </c>
      <c r="C60" s="2" t="s">
        <v>370</v>
      </c>
      <c r="D60" s="2" t="s">
        <v>4</v>
      </c>
      <c r="E60" s="9" t="s">
        <v>322</v>
      </c>
      <c r="F60" s="2" t="s">
        <v>332</v>
      </c>
      <c r="G60" s="7">
        <v>127.51</v>
      </c>
      <c r="H60" s="2" t="s">
        <v>512</v>
      </c>
      <c r="I60" s="2" t="s">
        <v>353</v>
      </c>
      <c r="J60" s="2" t="str">
        <f>tblprix[[#This Row],[Modele Machine]]&amp;"|"&amp;tblprix[[#This Row],[Référence]]&amp;"|"&amp;tblprix[[#This Row],[Couleur]]&amp;"|"&amp;tblprix[[#This Row],[Type (Original/Compatible)]]</f>
        <v>6054CI/5064CI/5054|TK8555C|C|Original</v>
      </c>
    </row>
    <row r="61" spans="2:10" x14ac:dyDescent="0.25">
      <c r="B61" t="str">
        <f t="shared" si="1"/>
        <v>TK8555M|Original</v>
      </c>
      <c r="C61" s="2" t="s">
        <v>371</v>
      </c>
      <c r="D61" s="2" t="s">
        <v>4</v>
      </c>
      <c r="E61" s="9" t="s">
        <v>323</v>
      </c>
      <c r="F61" s="2" t="s">
        <v>332</v>
      </c>
      <c r="G61" s="7">
        <v>127.51</v>
      </c>
      <c r="H61" s="2" t="s">
        <v>512</v>
      </c>
      <c r="I61" s="2" t="s">
        <v>353</v>
      </c>
      <c r="J61" s="2" t="str">
        <f>tblprix[[#This Row],[Modele Machine]]&amp;"|"&amp;tblprix[[#This Row],[Référence]]&amp;"|"&amp;tblprix[[#This Row],[Couleur]]&amp;"|"&amp;tblprix[[#This Row],[Type (Original/Compatible)]]</f>
        <v>6054CI/5064CI/5054|TK8555M|M|Original</v>
      </c>
    </row>
    <row r="62" spans="2:10" x14ac:dyDescent="0.25">
      <c r="B62" t="str">
        <f t="shared" si="1"/>
        <v>TK8555Y|Original</v>
      </c>
      <c r="C62" s="2" t="s">
        <v>372</v>
      </c>
      <c r="D62" s="2" t="s">
        <v>4</v>
      </c>
      <c r="E62" s="9" t="s">
        <v>324</v>
      </c>
      <c r="F62" s="2" t="s">
        <v>332</v>
      </c>
      <c r="G62" s="7">
        <v>127.51</v>
      </c>
      <c r="H62" s="2" t="s">
        <v>512</v>
      </c>
      <c r="I62" s="2" t="s">
        <v>353</v>
      </c>
      <c r="J62" s="2" t="str">
        <f>tblprix[[#This Row],[Modele Machine]]&amp;"|"&amp;tblprix[[#This Row],[Référence]]&amp;"|"&amp;tblprix[[#This Row],[Couleur]]&amp;"|"&amp;tblprix[[#This Row],[Type (Original/Compatible)]]</f>
        <v>6054CI/5064CI/5054|TK8555Y|Y|Original</v>
      </c>
    </row>
    <row r="63" spans="2:10" x14ac:dyDescent="0.25">
      <c r="B63" t="str">
        <f t="shared" si="1"/>
        <v>TK8365K|Compatible</v>
      </c>
      <c r="C63" s="2" t="s">
        <v>373</v>
      </c>
      <c r="D63" s="2" t="s">
        <v>5</v>
      </c>
      <c r="E63" s="9" t="s">
        <v>320</v>
      </c>
      <c r="F63" s="2" t="s">
        <v>321</v>
      </c>
      <c r="G63" s="7">
        <v>37.35</v>
      </c>
      <c r="H63" s="2" t="s">
        <v>448</v>
      </c>
      <c r="I63" s="2" t="s">
        <v>353</v>
      </c>
      <c r="J63" s="2" t="str">
        <f>tblprix[[#This Row],[Modele Machine]]&amp;"|"&amp;tblprix[[#This Row],[Référence]]&amp;"|"&amp;tblprix[[#This Row],[Couleur]]&amp;"|"&amp;tblprix[[#This Row],[Type (Original/Compatible)]]</f>
        <v>2554Ci|TK8365K|K|Compatible</v>
      </c>
    </row>
    <row r="64" spans="2:10" x14ac:dyDescent="0.25">
      <c r="B64" t="str">
        <f t="shared" si="1"/>
        <v>TK8365C|Compatible</v>
      </c>
      <c r="C64" s="2" t="s">
        <v>374</v>
      </c>
      <c r="D64" s="2" t="s">
        <v>5</v>
      </c>
      <c r="E64" s="9" t="s">
        <v>322</v>
      </c>
      <c r="F64" s="2" t="s">
        <v>321</v>
      </c>
      <c r="G64" s="7">
        <v>39.5</v>
      </c>
      <c r="H64" s="2" t="s">
        <v>448</v>
      </c>
      <c r="I64" s="2" t="s">
        <v>353</v>
      </c>
      <c r="J64" s="2" t="str">
        <f>tblprix[[#This Row],[Modele Machine]]&amp;"|"&amp;tblprix[[#This Row],[Référence]]&amp;"|"&amp;tblprix[[#This Row],[Couleur]]&amp;"|"&amp;tblprix[[#This Row],[Type (Original/Compatible)]]</f>
        <v>2554Ci|TK8365C|C|Compatible</v>
      </c>
    </row>
    <row r="65" spans="2:10" x14ac:dyDescent="0.25">
      <c r="B65" t="str">
        <f t="shared" si="1"/>
        <v>TK8365M|Compatible</v>
      </c>
      <c r="C65" s="2" t="s">
        <v>375</v>
      </c>
      <c r="D65" s="2" t="s">
        <v>5</v>
      </c>
      <c r="E65" s="9" t="s">
        <v>323</v>
      </c>
      <c r="F65" s="2" t="s">
        <v>321</v>
      </c>
      <c r="G65" s="7">
        <v>39.5</v>
      </c>
      <c r="H65" s="2" t="s">
        <v>448</v>
      </c>
      <c r="I65" s="2" t="s">
        <v>353</v>
      </c>
      <c r="J65" s="2" t="str">
        <f>tblprix[[#This Row],[Modele Machine]]&amp;"|"&amp;tblprix[[#This Row],[Référence]]&amp;"|"&amp;tblprix[[#This Row],[Couleur]]&amp;"|"&amp;tblprix[[#This Row],[Type (Original/Compatible)]]</f>
        <v>2554Ci|TK8365M|M|Compatible</v>
      </c>
    </row>
    <row r="66" spans="2:10" x14ac:dyDescent="0.25">
      <c r="B66" t="str">
        <f t="shared" si="1"/>
        <v>TK8365Y|Compatible</v>
      </c>
      <c r="C66" s="2" t="s">
        <v>376</v>
      </c>
      <c r="D66" s="2" t="s">
        <v>5</v>
      </c>
      <c r="E66" s="9" t="s">
        <v>324</v>
      </c>
      <c r="F66" s="2" t="s">
        <v>321</v>
      </c>
      <c r="G66" s="7">
        <v>39.5</v>
      </c>
      <c r="H66" s="2" t="s">
        <v>448</v>
      </c>
      <c r="I66" s="2" t="s">
        <v>353</v>
      </c>
      <c r="J66" s="2" t="str">
        <f>tblprix[[#This Row],[Modele Machine]]&amp;"|"&amp;tblprix[[#This Row],[Référence]]&amp;"|"&amp;tblprix[[#This Row],[Couleur]]&amp;"|"&amp;tblprix[[#This Row],[Type (Original/Compatible)]]</f>
        <v>2554Ci|TK8365Y|Y|Compatible</v>
      </c>
    </row>
    <row r="67" spans="2:10" x14ac:dyDescent="0.25">
      <c r="B67" t="str">
        <f t="shared" ref="B67:B98" si="2">C67&amp;"|"&amp;D67</f>
        <v>TK5205K|Compatible</v>
      </c>
      <c r="C67" s="2" t="s">
        <v>377</v>
      </c>
      <c r="D67" s="2" t="s">
        <v>5</v>
      </c>
      <c r="E67" s="9" t="s">
        <v>320</v>
      </c>
      <c r="F67" s="2" t="s">
        <v>321</v>
      </c>
      <c r="G67" s="7">
        <v>28.35</v>
      </c>
      <c r="H67" s="2" t="s">
        <v>435</v>
      </c>
      <c r="I67" s="2" t="s">
        <v>353</v>
      </c>
      <c r="J67" s="2" t="str">
        <f>tblprix[[#This Row],[Modele Machine]]&amp;"|"&amp;tblprix[[#This Row],[Référence]]&amp;"|"&amp;tblprix[[#This Row],[Couleur]]&amp;"|"&amp;tblprix[[#This Row],[Type (Original/Compatible)]]</f>
        <v>356Ci|TK5205K|K|Compatible</v>
      </c>
    </row>
    <row r="68" spans="2:10" x14ac:dyDescent="0.25">
      <c r="B68" t="str">
        <f t="shared" si="2"/>
        <v>TK5205C|Compatible</v>
      </c>
      <c r="C68" s="2" t="s">
        <v>378</v>
      </c>
      <c r="D68" s="2" t="s">
        <v>5</v>
      </c>
      <c r="E68" s="9" t="s">
        <v>322</v>
      </c>
      <c r="F68" s="2" t="s">
        <v>321</v>
      </c>
      <c r="G68" s="7">
        <v>38.5</v>
      </c>
      <c r="H68" s="2" t="s">
        <v>435</v>
      </c>
      <c r="I68" s="2" t="s">
        <v>353</v>
      </c>
      <c r="J68" s="2" t="str">
        <f>tblprix[[#This Row],[Modele Machine]]&amp;"|"&amp;tblprix[[#This Row],[Référence]]&amp;"|"&amp;tblprix[[#This Row],[Couleur]]&amp;"|"&amp;tblprix[[#This Row],[Type (Original/Compatible)]]</f>
        <v>356Ci|TK5205C|C|Compatible</v>
      </c>
    </row>
    <row r="69" spans="2:10" x14ac:dyDescent="0.25">
      <c r="B69" t="str">
        <f t="shared" si="2"/>
        <v>TK5205M|Compatible</v>
      </c>
      <c r="C69" s="2" t="s">
        <v>379</v>
      </c>
      <c r="D69" s="2" t="s">
        <v>5</v>
      </c>
      <c r="E69" s="9" t="s">
        <v>323</v>
      </c>
      <c r="F69" s="2" t="s">
        <v>321</v>
      </c>
      <c r="G69" s="7">
        <v>38.5</v>
      </c>
      <c r="H69" s="2" t="s">
        <v>435</v>
      </c>
      <c r="I69" s="2" t="s">
        <v>353</v>
      </c>
      <c r="J69" s="2" t="str">
        <f>tblprix[[#This Row],[Modele Machine]]&amp;"|"&amp;tblprix[[#This Row],[Référence]]&amp;"|"&amp;tblprix[[#This Row],[Couleur]]&amp;"|"&amp;tblprix[[#This Row],[Type (Original/Compatible)]]</f>
        <v>356Ci|TK5205M|M|Compatible</v>
      </c>
    </row>
    <row r="70" spans="2:10" x14ac:dyDescent="0.25">
      <c r="B70" t="str">
        <f t="shared" si="2"/>
        <v>TK5205Y|Compatible</v>
      </c>
      <c r="C70" s="2" t="s">
        <v>380</v>
      </c>
      <c r="D70" s="2" t="s">
        <v>5</v>
      </c>
      <c r="E70" s="9" t="s">
        <v>324</v>
      </c>
      <c r="F70" s="2" t="s">
        <v>321</v>
      </c>
      <c r="G70" s="7">
        <v>38.5</v>
      </c>
      <c r="H70" s="2" t="s">
        <v>435</v>
      </c>
      <c r="I70" s="2" t="s">
        <v>353</v>
      </c>
      <c r="J70" s="2" t="str">
        <f>tblprix[[#This Row],[Modele Machine]]&amp;"|"&amp;tblprix[[#This Row],[Référence]]&amp;"|"&amp;tblprix[[#This Row],[Couleur]]&amp;"|"&amp;tblprix[[#This Row],[Type (Original/Compatible)]]</f>
        <v>356Ci|TK5205Y|Y|Compatible</v>
      </c>
    </row>
    <row r="71" spans="2:10" x14ac:dyDescent="0.25">
      <c r="B71" t="str">
        <f t="shared" si="2"/>
        <v>TK8335k|Compatible</v>
      </c>
      <c r="C71" s="2" t="s">
        <v>385</v>
      </c>
      <c r="D71" s="2" t="s">
        <v>5</v>
      </c>
      <c r="E71" s="9" t="s">
        <v>320</v>
      </c>
      <c r="F71" s="2" t="s">
        <v>321</v>
      </c>
      <c r="G71" s="7">
        <v>36.5</v>
      </c>
      <c r="H71" s="2" t="s">
        <v>508</v>
      </c>
      <c r="I71" s="2" t="s">
        <v>353</v>
      </c>
      <c r="J71" s="2" t="str">
        <f>tblprix[[#This Row],[Modele Machine]]&amp;"|"&amp;tblprix[[#This Row],[Référence]]&amp;"|"&amp;tblprix[[#This Row],[Couleur]]&amp;"|"&amp;tblprix[[#This Row],[Type (Original/Compatible)]]</f>
        <v>3252/3253Ci|TK8335k|K|Compatible</v>
      </c>
    </row>
    <row r="72" spans="2:10" x14ac:dyDescent="0.25">
      <c r="B72" t="str">
        <f t="shared" si="2"/>
        <v>TK8335C|Compatible</v>
      </c>
      <c r="C72" s="2" t="s">
        <v>502</v>
      </c>
      <c r="D72" s="2" t="s">
        <v>5</v>
      </c>
      <c r="E72" s="9" t="s">
        <v>322</v>
      </c>
      <c r="F72" s="2" t="s">
        <v>321</v>
      </c>
      <c r="G72" s="7">
        <v>39.5</v>
      </c>
      <c r="H72" s="2" t="s">
        <v>508</v>
      </c>
      <c r="I72" s="2" t="s">
        <v>353</v>
      </c>
      <c r="J72" s="2" t="str">
        <f>tblprix[[#This Row],[Modele Machine]]&amp;"|"&amp;tblprix[[#This Row],[Référence]]&amp;"|"&amp;tblprix[[#This Row],[Couleur]]&amp;"|"&amp;tblprix[[#This Row],[Type (Original/Compatible)]]</f>
        <v>3252/3253Ci|TK8335C|C|Compatible</v>
      </c>
    </row>
    <row r="73" spans="2:10" x14ac:dyDescent="0.25">
      <c r="B73" t="str">
        <f t="shared" si="2"/>
        <v>TK8335M|Compatible</v>
      </c>
      <c r="C73" s="2" t="s">
        <v>503</v>
      </c>
      <c r="D73" s="2" t="s">
        <v>5</v>
      </c>
      <c r="E73" s="9" t="s">
        <v>323</v>
      </c>
      <c r="F73" s="2" t="s">
        <v>321</v>
      </c>
      <c r="G73" s="7">
        <v>39.5</v>
      </c>
      <c r="H73" s="2" t="s">
        <v>508</v>
      </c>
      <c r="I73" s="2" t="s">
        <v>353</v>
      </c>
      <c r="J73" s="2" t="str">
        <f>tblprix[[#This Row],[Modele Machine]]&amp;"|"&amp;tblprix[[#This Row],[Référence]]&amp;"|"&amp;tblprix[[#This Row],[Couleur]]&amp;"|"&amp;tblprix[[#This Row],[Type (Original/Compatible)]]</f>
        <v>3252/3253Ci|TK8335M|M|Compatible</v>
      </c>
    </row>
    <row r="74" spans="2:10" x14ac:dyDescent="0.25">
      <c r="B74" t="str">
        <f t="shared" si="2"/>
        <v>TK8335Y|Compatible</v>
      </c>
      <c r="C74" s="2" t="s">
        <v>504</v>
      </c>
      <c r="D74" s="2" t="s">
        <v>5</v>
      </c>
      <c r="E74" s="9" t="s">
        <v>324</v>
      </c>
      <c r="F74" s="2" t="s">
        <v>321</v>
      </c>
      <c r="G74" s="7">
        <v>39.5</v>
      </c>
      <c r="H74" s="2" t="s">
        <v>508</v>
      </c>
      <c r="I74" s="2" t="s">
        <v>353</v>
      </c>
      <c r="J74" s="2" t="str">
        <f>tblprix[[#This Row],[Modele Machine]]&amp;"|"&amp;tblprix[[#This Row],[Référence]]&amp;"|"&amp;tblprix[[#This Row],[Couleur]]&amp;"|"&amp;tblprix[[#This Row],[Type (Original/Compatible)]]</f>
        <v>3252/3253Ci|TK8335Y|Y|Compatible</v>
      </c>
    </row>
    <row r="75" spans="2:10" x14ac:dyDescent="0.25">
      <c r="B75" t="str">
        <f t="shared" si="2"/>
        <v>TK8335K|Compatible</v>
      </c>
      <c r="C75" s="2" t="s">
        <v>505</v>
      </c>
      <c r="D75" s="2" t="s">
        <v>5</v>
      </c>
      <c r="E75" s="9" t="s">
        <v>320</v>
      </c>
      <c r="F75" s="2" t="s">
        <v>321</v>
      </c>
      <c r="G75" s="7">
        <v>36.5</v>
      </c>
      <c r="H75" s="2" t="s">
        <v>508</v>
      </c>
      <c r="I75" s="2" t="s">
        <v>353</v>
      </c>
      <c r="J75" s="2" t="str">
        <f>tblprix[[#This Row],[Modele Machine]]&amp;"|"&amp;tblprix[[#This Row],[Référence]]&amp;"|"&amp;tblprix[[#This Row],[Couleur]]&amp;"|"&amp;tblprix[[#This Row],[Type (Original/Compatible)]]</f>
        <v>3252/3253Ci|TK8335K|K|Compatible</v>
      </c>
    </row>
    <row r="76" spans="2:10" x14ac:dyDescent="0.25">
      <c r="B76" t="str">
        <f t="shared" si="2"/>
        <v>TK8335C|Compatible</v>
      </c>
      <c r="C76" s="2" t="s">
        <v>502</v>
      </c>
      <c r="D76" s="2" t="s">
        <v>5</v>
      </c>
      <c r="E76" s="9" t="s">
        <v>322</v>
      </c>
      <c r="F76" s="2" t="s">
        <v>321</v>
      </c>
      <c r="G76" s="7">
        <v>39.5</v>
      </c>
      <c r="H76" s="2" t="s">
        <v>508</v>
      </c>
      <c r="I76" s="2" t="s">
        <v>353</v>
      </c>
      <c r="J76" s="2" t="str">
        <f>tblprix[[#This Row],[Modele Machine]]&amp;"|"&amp;tblprix[[#This Row],[Référence]]&amp;"|"&amp;tblprix[[#This Row],[Couleur]]&amp;"|"&amp;tblprix[[#This Row],[Type (Original/Compatible)]]</f>
        <v>3252/3253Ci|TK8335C|C|Compatible</v>
      </c>
    </row>
    <row r="77" spans="2:10" x14ac:dyDescent="0.25">
      <c r="B77" t="str">
        <f t="shared" si="2"/>
        <v>TK8335M|Compatible</v>
      </c>
      <c r="C77" s="2" t="s">
        <v>503</v>
      </c>
      <c r="D77" s="2" t="s">
        <v>5</v>
      </c>
      <c r="E77" s="9" t="s">
        <v>323</v>
      </c>
      <c r="F77" s="2" t="s">
        <v>321</v>
      </c>
      <c r="G77" s="7">
        <v>39.5</v>
      </c>
      <c r="H77" s="2" t="s">
        <v>508</v>
      </c>
      <c r="I77" s="2" t="s">
        <v>353</v>
      </c>
      <c r="J77" s="2" t="str">
        <f>tblprix[[#This Row],[Modele Machine]]&amp;"|"&amp;tblprix[[#This Row],[Référence]]&amp;"|"&amp;tblprix[[#This Row],[Couleur]]&amp;"|"&amp;tblprix[[#This Row],[Type (Original/Compatible)]]</f>
        <v>3252/3253Ci|TK8335M|M|Compatible</v>
      </c>
    </row>
    <row r="78" spans="2:10" x14ac:dyDescent="0.25">
      <c r="B78" t="str">
        <f t="shared" si="2"/>
        <v>TK8335Y|Compatible</v>
      </c>
      <c r="C78" s="2" t="s">
        <v>504</v>
      </c>
      <c r="D78" s="2" t="s">
        <v>5</v>
      </c>
      <c r="E78" s="9" t="s">
        <v>324</v>
      </c>
      <c r="F78" s="2" t="s">
        <v>321</v>
      </c>
      <c r="G78" s="7">
        <v>39.5</v>
      </c>
      <c r="H78" s="2" t="s">
        <v>508</v>
      </c>
      <c r="I78" s="2" t="s">
        <v>353</v>
      </c>
      <c r="J78" s="2" t="str">
        <f>tblprix[[#This Row],[Modele Machine]]&amp;"|"&amp;tblprix[[#This Row],[Référence]]&amp;"|"&amp;tblprix[[#This Row],[Couleur]]&amp;"|"&amp;tblprix[[#This Row],[Type (Original/Compatible)]]</f>
        <v>3252/3253Ci|TK8335Y|Y|Compatible</v>
      </c>
    </row>
    <row r="79" spans="2:10" x14ac:dyDescent="0.25">
      <c r="B79" t="str">
        <f t="shared" si="2"/>
        <v>TK5240K|Compatible</v>
      </c>
      <c r="C79" s="2" t="s">
        <v>381</v>
      </c>
      <c r="D79" s="2" t="s">
        <v>5</v>
      </c>
      <c r="E79" s="9" t="s">
        <v>320</v>
      </c>
      <c r="F79" s="2" t="s">
        <v>321</v>
      </c>
      <c r="G79" s="7">
        <v>23.3</v>
      </c>
      <c r="H79" s="2" t="s">
        <v>501</v>
      </c>
      <c r="I79" s="2" t="s">
        <v>353</v>
      </c>
      <c r="J79" s="2" t="str">
        <f>tblprix[[#This Row],[Modele Machine]]&amp;"|"&amp;tblprix[[#This Row],[Référence]]&amp;"|"&amp;tblprix[[#This Row],[Couleur]]&amp;"|"&amp;tblprix[[#This Row],[Type (Original/Compatible)]]</f>
        <v>M5526C/D|TK5240K|K|Compatible</v>
      </c>
    </row>
    <row r="80" spans="2:10" x14ac:dyDescent="0.25">
      <c r="B80" t="str">
        <f t="shared" si="2"/>
        <v>TK5240C|Compatible</v>
      </c>
      <c r="C80" s="2" t="s">
        <v>382</v>
      </c>
      <c r="D80" s="2" t="s">
        <v>5</v>
      </c>
      <c r="E80" s="9" t="s">
        <v>322</v>
      </c>
      <c r="F80" s="2" t="s">
        <v>321</v>
      </c>
      <c r="G80" s="7">
        <v>30.3</v>
      </c>
      <c r="H80" s="2" t="s">
        <v>501</v>
      </c>
      <c r="I80" s="2" t="s">
        <v>353</v>
      </c>
      <c r="J80" s="2" t="str">
        <f>tblprix[[#This Row],[Modele Machine]]&amp;"|"&amp;tblprix[[#This Row],[Référence]]&amp;"|"&amp;tblprix[[#This Row],[Couleur]]&amp;"|"&amp;tblprix[[#This Row],[Type (Original/Compatible)]]</f>
        <v>M5526C/D|TK5240C|C|Compatible</v>
      </c>
    </row>
    <row r="81" spans="2:10" x14ac:dyDescent="0.25">
      <c r="B81" t="str">
        <f t="shared" si="2"/>
        <v>TK5240M|Compatible</v>
      </c>
      <c r="C81" s="2" t="s">
        <v>383</v>
      </c>
      <c r="D81" s="2" t="s">
        <v>5</v>
      </c>
      <c r="E81" s="9" t="s">
        <v>323</v>
      </c>
      <c r="F81" s="2" t="s">
        <v>321</v>
      </c>
      <c r="G81" s="7">
        <v>30.3</v>
      </c>
      <c r="H81" s="2" t="s">
        <v>501</v>
      </c>
      <c r="I81" s="2" t="s">
        <v>353</v>
      </c>
      <c r="J81" s="2" t="str">
        <f>tblprix[[#This Row],[Modele Machine]]&amp;"|"&amp;tblprix[[#This Row],[Référence]]&amp;"|"&amp;tblprix[[#This Row],[Couleur]]&amp;"|"&amp;tblprix[[#This Row],[Type (Original/Compatible)]]</f>
        <v>M5526C/D|TK5240M|M|Compatible</v>
      </c>
    </row>
    <row r="82" spans="2:10" x14ac:dyDescent="0.25">
      <c r="B82" t="str">
        <f t="shared" si="2"/>
        <v>TK5240Y|Compatible</v>
      </c>
      <c r="C82" s="2" t="s">
        <v>384</v>
      </c>
      <c r="D82" s="2" t="s">
        <v>5</v>
      </c>
      <c r="E82" s="9" t="s">
        <v>324</v>
      </c>
      <c r="F82" s="2" t="s">
        <v>321</v>
      </c>
      <c r="G82" s="7">
        <v>30.3</v>
      </c>
      <c r="H82" s="2" t="s">
        <v>501</v>
      </c>
      <c r="I82" s="2" t="s">
        <v>353</v>
      </c>
      <c r="J82" s="2" t="str">
        <f>tblprix[[#This Row],[Modele Machine]]&amp;"|"&amp;tblprix[[#This Row],[Référence]]&amp;"|"&amp;tblprix[[#This Row],[Couleur]]&amp;"|"&amp;tblprix[[#This Row],[Type (Original/Compatible)]]</f>
        <v>M5526C/D|TK5240Y|Y|Compatible</v>
      </c>
    </row>
    <row r="83" spans="2:10" x14ac:dyDescent="0.25">
      <c r="B83" t="str">
        <f t="shared" si="2"/>
        <v>TK8345K|Compatible</v>
      </c>
      <c r="C83" s="2" t="s">
        <v>386</v>
      </c>
      <c r="D83" s="2" t="s">
        <v>5</v>
      </c>
      <c r="E83" s="9" t="s">
        <v>320</v>
      </c>
      <c r="F83" s="2" t="s">
        <v>321</v>
      </c>
      <c r="G83" s="7">
        <v>33.4</v>
      </c>
      <c r="H83" s="2" t="s">
        <v>513</v>
      </c>
      <c r="I83" s="2" t="s">
        <v>353</v>
      </c>
      <c r="J83" s="2" t="str">
        <f>tblprix[[#This Row],[Modele Machine]]&amp;"|"&amp;tblprix[[#This Row],[Référence]]&amp;"|"&amp;tblprix[[#This Row],[Couleur]]&amp;"|"&amp;tblprix[[#This Row],[Type (Original/Compatible)]]</f>
        <v>2552Ci/2553|TK8345K|K|Compatible</v>
      </c>
    </row>
    <row r="84" spans="2:10" x14ac:dyDescent="0.25">
      <c r="B84" t="str">
        <f t="shared" si="2"/>
        <v>TK8345C|Compatible</v>
      </c>
      <c r="C84" s="2" t="s">
        <v>387</v>
      </c>
      <c r="D84" s="2" t="s">
        <v>5</v>
      </c>
      <c r="E84" s="9" t="s">
        <v>322</v>
      </c>
      <c r="F84" s="2" t="s">
        <v>321</v>
      </c>
      <c r="G84" s="7">
        <v>40.4</v>
      </c>
      <c r="H84" s="2" t="s">
        <v>513</v>
      </c>
      <c r="I84" s="2" t="s">
        <v>353</v>
      </c>
      <c r="J84" s="2" t="str">
        <f>tblprix[[#This Row],[Modele Machine]]&amp;"|"&amp;tblprix[[#This Row],[Référence]]&amp;"|"&amp;tblprix[[#This Row],[Couleur]]&amp;"|"&amp;tblprix[[#This Row],[Type (Original/Compatible)]]</f>
        <v>2552Ci/2553|TK8345C|C|Compatible</v>
      </c>
    </row>
    <row r="85" spans="2:10" x14ac:dyDescent="0.25">
      <c r="B85" t="str">
        <f t="shared" si="2"/>
        <v>TK8345M|Compatible</v>
      </c>
      <c r="C85" s="2" t="s">
        <v>388</v>
      </c>
      <c r="D85" s="2" t="s">
        <v>5</v>
      </c>
      <c r="E85" s="9" t="s">
        <v>323</v>
      </c>
      <c r="F85" s="2" t="s">
        <v>321</v>
      </c>
      <c r="G85" s="7">
        <v>40.4</v>
      </c>
      <c r="H85" s="2" t="s">
        <v>513</v>
      </c>
      <c r="I85" s="2" t="s">
        <v>353</v>
      </c>
      <c r="J85" s="2" t="str">
        <f>tblprix[[#This Row],[Modele Machine]]&amp;"|"&amp;tblprix[[#This Row],[Référence]]&amp;"|"&amp;tblprix[[#This Row],[Couleur]]&amp;"|"&amp;tblprix[[#This Row],[Type (Original/Compatible)]]</f>
        <v>2552Ci/2553|TK8345M|M|Compatible</v>
      </c>
    </row>
    <row r="86" spans="2:10" x14ac:dyDescent="0.25">
      <c r="B86" t="str">
        <f t="shared" si="2"/>
        <v>TK8345Y|Compatible</v>
      </c>
      <c r="C86" s="2" t="s">
        <v>389</v>
      </c>
      <c r="D86" s="2" t="s">
        <v>5</v>
      </c>
      <c r="E86" s="9" t="s">
        <v>324</v>
      </c>
      <c r="F86" s="2" t="s">
        <v>321</v>
      </c>
      <c r="G86" s="7">
        <v>40.4</v>
      </c>
      <c r="H86" s="2" t="s">
        <v>513</v>
      </c>
      <c r="I86" s="2" t="s">
        <v>353</v>
      </c>
      <c r="J86" s="2" t="str">
        <f>tblprix[[#This Row],[Modele Machine]]&amp;"|"&amp;tblprix[[#This Row],[Référence]]&amp;"|"&amp;tblprix[[#This Row],[Couleur]]&amp;"|"&amp;tblprix[[#This Row],[Type (Original/Compatible)]]</f>
        <v>2552Ci/2553|TK8345Y|Y|Compatible</v>
      </c>
    </row>
    <row r="87" spans="2:10" x14ac:dyDescent="0.25">
      <c r="B87" t="str">
        <f t="shared" si="2"/>
        <v>TK8525K|Compatible</v>
      </c>
      <c r="C87" s="2" t="s">
        <v>390</v>
      </c>
      <c r="D87" s="2" t="s">
        <v>5</v>
      </c>
      <c r="E87" s="9" t="s">
        <v>320</v>
      </c>
      <c r="F87" s="2" t="s">
        <v>321</v>
      </c>
      <c r="G87" s="7">
        <v>42.55</v>
      </c>
      <c r="H87" s="2" t="s">
        <v>507</v>
      </c>
      <c r="I87" s="2" t="s">
        <v>353</v>
      </c>
      <c r="J87" s="2" t="str">
        <f>tblprix[[#This Row],[Modele Machine]]&amp;"|"&amp;tblprix[[#This Row],[Référence]]&amp;"|"&amp;tblprix[[#This Row],[Couleur]]&amp;"|"&amp;tblprix[[#This Row],[Type (Original/Compatible)]]</f>
        <v>4052/4053Ci|TK8525K|K|Compatible</v>
      </c>
    </row>
    <row r="88" spans="2:10" x14ac:dyDescent="0.25">
      <c r="B88" t="str">
        <f t="shared" si="2"/>
        <v>TK8525C|Compatible</v>
      </c>
      <c r="C88" s="2" t="s">
        <v>391</v>
      </c>
      <c r="D88" s="2" t="s">
        <v>5</v>
      </c>
      <c r="E88" s="9" t="s">
        <v>322</v>
      </c>
      <c r="F88" s="2" t="s">
        <v>321</v>
      </c>
      <c r="G88" s="7">
        <v>47.6</v>
      </c>
      <c r="H88" s="2" t="s">
        <v>507</v>
      </c>
      <c r="I88" s="2" t="s">
        <v>353</v>
      </c>
      <c r="J88" s="2" t="str">
        <f>tblprix[[#This Row],[Modele Machine]]&amp;"|"&amp;tblprix[[#This Row],[Référence]]&amp;"|"&amp;tblprix[[#This Row],[Couleur]]&amp;"|"&amp;tblprix[[#This Row],[Type (Original/Compatible)]]</f>
        <v>4052/4053Ci|TK8525C|C|Compatible</v>
      </c>
    </row>
    <row r="89" spans="2:10" x14ac:dyDescent="0.25">
      <c r="B89" t="str">
        <f t="shared" si="2"/>
        <v>TK8525M|Compatible</v>
      </c>
      <c r="C89" s="2" t="s">
        <v>392</v>
      </c>
      <c r="D89" s="2" t="s">
        <v>5</v>
      </c>
      <c r="E89" s="9" t="s">
        <v>323</v>
      </c>
      <c r="F89" s="2" t="s">
        <v>321</v>
      </c>
      <c r="G89" s="7">
        <v>47.6</v>
      </c>
      <c r="H89" s="2" t="s">
        <v>507</v>
      </c>
      <c r="I89" s="2" t="s">
        <v>353</v>
      </c>
      <c r="J89" s="2" t="str">
        <f>tblprix[[#This Row],[Modele Machine]]&amp;"|"&amp;tblprix[[#This Row],[Référence]]&amp;"|"&amp;tblprix[[#This Row],[Couleur]]&amp;"|"&amp;tblprix[[#This Row],[Type (Original/Compatible)]]</f>
        <v>4052/4053Ci|TK8525M|M|Compatible</v>
      </c>
    </row>
    <row r="90" spans="2:10" x14ac:dyDescent="0.25">
      <c r="B90" t="str">
        <f t="shared" si="2"/>
        <v>TK8525Y|Compatible</v>
      </c>
      <c r="C90" s="2" t="s">
        <v>393</v>
      </c>
      <c r="D90" s="2" t="s">
        <v>5</v>
      </c>
      <c r="E90" s="9" t="s">
        <v>324</v>
      </c>
      <c r="F90" s="2" t="s">
        <v>321</v>
      </c>
      <c r="G90" s="7">
        <v>47.6</v>
      </c>
      <c r="H90" s="2" t="s">
        <v>507</v>
      </c>
      <c r="I90" s="2" t="s">
        <v>353</v>
      </c>
      <c r="J90" s="2" t="str">
        <f>tblprix[[#This Row],[Modele Machine]]&amp;"|"&amp;tblprix[[#This Row],[Référence]]&amp;"|"&amp;tblprix[[#This Row],[Couleur]]&amp;"|"&amp;tblprix[[#This Row],[Type (Original/Compatible)]]</f>
        <v>4052/4053Ci|TK8525Y|Y|Compatible</v>
      </c>
    </row>
    <row r="91" spans="2:10" x14ac:dyDescent="0.25">
      <c r="B91" t="str">
        <f t="shared" si="2"/>
        <v>TN328K|Original</v>
      </c>
      <c r="C91" s="2" t="s">
        <v>395</v>
      </c>
      <c r="D91" s="2" t="s">
        <v>4</v>
      </c>
      <c r="E91" s="9" t="s">
        <v>320</v>
      </c>
      <c r="F91" s="2" t="s">
        <v>330</v>
      </c>
      <c r="G91" s="7">
        <v>38.409999999999997</v>
      </c>
      <c r="H91" s="10" t="s">
        <v>500</v>
      </c>
      <c r="I91" s="2" t="s">
        <v>394</v>
      </c>
      <c r="J91" s="2" t="str">
        <f>tblprix[[#This Row],[Modele Machine]]&amp;"|"&amp;tblprix[[#This Row],[Référence]]&amp;"|"&amp;tblprix[[#This Row],[Couleur]]&amp;"|"&amp;tblprix[[#This Row],[Type (Original/Compatible)]]</f>
        <v>+250/1 300/1 360/1|TN328K|K|Original</v>
      </c>
    </row>
    <row r="92" spans="2:10" x14ac:dyDescent="0.25">
      <c r="B92" t="str">
        <f t="shared" si="2"/>
        <v>TN328C|Original</v>
      </c>
      <c r="C92" s="2" t="s">
        <v>497</v>
      </c>
      <c r="D92" s="2" t="s">
        <v>4</v>
      </c>
      <c r="E92" s="9" t="s">
        <v>322</v>
      </c>
      <c r="F92" s="2" t="s">
        <v>330</v>
      </c>
      <c r="G92" s="7">
        <v>99.33</v>
      </c>
      <c r="H92" s="10" t="s">
        <v>500</v>
      </c>
      <c r="I92" s="2" t="s">
        <v>394</v>
      </c>
      <c r="J92" s="2" t="str">
        <f>tblprix[[#This Row],[Modele Machine]]&amp;"|"&amp;tblprix[[#This Row],[Référence]]&amp;"|"&amp;tblprix[[#This Row],[Couleur]]&amp;"|"&amp;tblprix[[#This Row],[Type (Original/Compatible)]]</f>
        <v>+250/1 300/1 360/1|TN328C|C|Original</v>
      </c>
    </row>
    <row r="93" spans="2:10" x14ac:dyDescent="0.25">
      <c r="B93" t="str">
        <f t="shared" si="2"/>
        <v>TN328M|Original</v>
      </c>
      <c r="C93" s="2" t="s">
        <v>396</v>
      </c>
      <c r="D93" s="2" t="s">
        <v>4</v>
      </c>
      <c r="E93" s="9" t="s">
        <v>323</v>
      </c>
      <c r="F93" s="2" t="s">
        <v>330</v>
      </c>
      <c r="G93" s="7">
        <v>99.33</v>
      </c>
      <c r="H93" s="10" t="s">
        <v>500</v>
      </c>
      <c r="I93" s="2" t="s">
        <v>394</v>
      </c>
      <c r="J93" s="2" t="str">
        <f>tblprix[[#This Row],[Modele Machine]]&amp;"|"&amp;tblprix[[#This Row],[Référence]]&amp;"|"&amp;tblprix[[#This Row],[Couleur]]&amp;"|"&amp;tblprix[[#This Row],[Type (Original/Compatible)]]</f>
        <v>+250/1 300/1 360/1|TN328M|M|Original</v>
      </c>
    </row>
    <row r="94" spans="2:10" x14ac:dyDescent="0.25">
      <c r="B94" t="str">
        <f t="shared" si="2"/>
        <v>TN328Y|Original</v>
      </c>
      <c r="C94" s="2" t="s">
        <v>397</v>
      </c>
      <c r="D94" s="2" t="s">
        <v>4</v>
      </c>
      <c r="E94" s="9" t="s">
        <v>324</v>
      </c>
      <c r="F94" s="2" t="s">
        <v>330</v>
      </c>
      <c r="G94" s="7">
        <v>99.33</v>
      </c>
      <c r="H94" s="10" t="s">
        <v>500</v>
      </c>
      <c r="I94" s="2" t="s">
        <v>394</v>
      </c>
      <c r="J94" s="2" t="str">
        <f>tblprix[[#This Row],[Modele Machine]]&amp;"|"&amp;tblprix[[#This Row],[Référence]]&amp;"|"&amp;tblprix[[#This Row],[Couleur]]&amp;"|"&amp;tblprix[[#This Row],[Type (Original/Compatible)]]</f>
        <v>+250/1 300/1 360/1|TN328Y|Y|Original</v>
      </c>
    </row>
    <row r="95" spans="2:10" x14ac:dyDescent="0.25">
      <c r="B95" t="str">
        <f t="shared" si="2"/>
        <v>TN626K|Original</v>
      </c>
      <c r="C95" s="2" t="s">
        <v>399</v>
      </c>
      <c r="D95" s="2" t="s">
        <v>4</v>
      </c>
      <c r="E95" s="9" t="s">
        <v>320</v>
      </c>
      <c r="F95" s="2" t="s">
        <v>330</v>
      </c>
      <c r="G95" s="7">
        <v>43.3</v>
      </c>
      <c r="H95" s="10" t="s">
        <v>398</v>
      </c>
      <c r="I95" s="2" t="s">
        <v>394</v>
      </c>
      <c r="J95" s="2" t="str">
        <f>tblprix[[#This Row],[Modele Machine]]&amp;"|"&amp;tblprix[[#This Row],[Référence]]&amp;"|"&amp;tblprix[[#This Row],[Couleur]]&amp;"|"&amp;tblprix[[#This Row],[Type (Original/Compatible)]]</f>
        <v>+451/ +551 / +651 |TN626K|K|Original</v>
      </c>
    </row>
    <row r="96" spans="2:10" x14ac:dyDescent="0.25">
      <c r="B96" t="str">
        <f t="shared" si="2"/>
        <v>TN626K|Compatible</v>
      </c>
      <c r="C96" s="2" t="s">
        <v>399</v>
      </c>
      <c r="D96" s="2" t="s">
        <v>5</v>
      </c>
      <c r="E96" s="9" t="s">
        <v>320</v>
      </c>
      <c r="F96" s="2" t="s">
        <v>321</v>
      </c>
      <c r="G96" s="7">
        <v>24.3</v>
      </c>
      <c r="H96" s="10" t="s">
        <v>398</v>
      </c>
      <c r="I96" s="2" t="s">
        <v>394</v>
      </c>
      <c r="J96" s="2" t="str">
        <f>tblprix[[#This Row],[Modele Machine]]&amp;"|"&amp;tblprix[[#This Row],[Référence]]&amp;"|"&amp;tblprix[[#This Row],[Couleur]]&amp;"|"&amp;tblprix[[#This Row],[Type (Original/Compatible)]]</f>
        <v>+451/ +551 / +651 |TN626K|K|Compatible</v>
      </c>
    </row>
    <row r="97" spans="2:10" x14ac:dyDescent="0.25">
      <c r="B97" t="str">
        <f t="shared" si="2"/>
        <v>TN626C|Original</v>
      </c>
      <c r="C97" s="2" t="s">
        <v>494</v>
      </c>
      <c r="D97" s="2" t="s">
        <v>4</v>
      </c>
      <c r="E97" s="9" t="s">
        <v>322</v>
      </c>
      <c r="F97" s="2" t="s">
        <v>330</v>
      </c>
      <c r="G97" s="7">
        <v>98.56</v>
      </c>
      <c r="H97" s="10" t="s">
        <v>398</v>
      </c>
      <c r="I97" s="2" t="s">
        <v>394</v>
      </c>
      <c r="J97" s="2" t="str">
        <f>tblprix[[#This Row],[Modele Machine]]&amp;"|"&amp;tblprix[[#This Row],[Référence]]&amp;"|"&amp;tblprix[[#This Row],[Couleur]]&amp;"|"&amp;tblprix[[#This Row],[Type (Original/Compatible)]]</f>
        <v>+451/ +551 / +651 |TN626C|C|Original</v>
      </c>
    </row>
    <row r="98" spans="2:10" x14ac:dyDescent="0.25">
      <c r="B98" t="str">
        <f t="shared" si="2"/>
        <v>TN626C|Compatible</v>
      </c>
      <c r="C98" s="2" t="s">
        <v>494</v>
      </c>
      <c r="D98" s="2" t="s">
        <v>5</v>
      </c>
      <c r="E98" s="9" t="s">
        <v>322</v>
      </c>
      <c r="F98" s="2" t="s">
        <v>321</v>
      </c>
      <c r="G98" s="7">
        <v>65.599999999999994</v>
      </c>
      <c r="H98" s="10" t="s">
        <v>398</v>
      </c>
      <c r="I98" s="2" t="s">
        <v>394</v>
      </c>
      <c r="J98" s="2" t="str">
        <f>tblprix[[#This Row],[Modele Machine]]&amp;"|"&amp;tblprix[[#This Row],[Référence]]&amp;"|"&amp;tblprix[[#This Row],[Couleur]]&amp;"|"&amp;tblprix[[#This Row],[Type (Original/Compatible)]]</f>
        <v>+451/ +551 / +651 |TN626C|C|Compatible</v>
      </c>
    </row>
    <row r="99" spans="2:10" x14ac:dyDescent="0.25">
      <c r="B99" t="str">
        <f t="shared" ref="B99:B130" si="3">C99&amp;"|"&amp;D99</f>
        <v>TN626M|Original</v>
      </c>
      <c r="C99" s="2" t="s">
        <v>495</v>
      </c>
      <c r="D99" s="2" t="s">
        <v>4</v>
      </c>
      <c r="E99" s="9" t="s">
        <v>323</v>
      </c>
      <c r="F99" s="2" t="s">
        <v>330</v>
      </c>
      <c r="G99" s="7">
        <v>98.56</v>
      </c>
      <c r="H99" s="10" t="s">
        <v>398</v>
      </c>
      <c r="I99" s="2" t="s">
        <v>394</v>
      </c>
      <c r="J99" s="2" t="str">
        <f>tblprix[[#This Row],[Modele Machine]]&amp;"|"&amp;tblprix[[#This Row],[Référence]]&amp;"|"&amp;tblprix[[#This Row],[Couleur]]&amp;"|"&amp;tblprix[[#This Row],[Type (Original/Compatible)]]</f>
        <v>+451/ +551 / +651 |TN626M|M|Original</v>
      </c>
    </row>
    <row r="100" spans="2:10" x14ac:dyDescent="0.25">
      <c r="B100" t="str">
        <f t="shared" si="3"/>
        <v>TN626M|Compatible</v>
      </c>
      <c r="C100" s="2" t="s">
        <v>495</v>
      </c>
      <c r="D100" s="2" t="s">
        <v>5</v>
      </c>
      <c r="E100" s="9" t="s">
        <v>323</v>
      </c>
      <c r="F100" s="2" t="s">
        <v>321</v>
      </c>
      <c r="G100" s="7">
        <v>65.599999999999994</v>
      </c>
      <c r="H100" s="10" t="s">
        <v>398</v>
      </c>
      <c r="I100" s="2" t="s">
        <v>394</v>
      </c>
      <c r="J100" s="2" t="str">
        <f>tblprix[[#This Row],[Modele Machine]]&amp;"|"&amp;tblprix[[#This Row],[Référence]]&amp;"|"&amp;tblprix[[#This Row],[Couleur]]&amp;"|"&amp;tblprix[[#This Row],[Type (Original/Compatible)]]</f>
        <v>+451/ +551 / +651 |TN626M|M|Compatible</v>
      </c>
    </row>
    <row r="101" spans="2:10" x14ac:dyDescent="0.25">
      <c r="B101" t="str">
        <f t="shared" si="3"/>
        <v>TN626Y|Original</v>
      </c>
      <c r="C101" s="2" t="s">
        <v>496</v>
      </c>
      <c r="D101" s="2" t="s">
        <v>4</v>
      </c>
      <c r="E101" s="9" t="s">
        <v>324</v>
      </c>
      <c r="F101" s="2" t="s">
        <v>330</v>
      </c>
      <c r="G101" s="7">
        <v>98.56</v>
      </c>
      <c r="H101" s="10" t="s">
        <v>398</v>
      </c>
      <c r="I101" s="2" t="s">
        <v>394</v>
      </c>
      <c r="J101" s="2" t="str">
        <f>tblprix[[#This Row],[Modele Machine]]&amp;"|"&amp;tblprix[[#This Row],[Référence]]&amp;"|"&amp;tblprix[[#This Row],[Couleur]]&amp;"|"&amp;tblprix[[#This Row],[Type (Original/Compatible)]]</f>
        <v>+451/ +551 / +651 |TN626Y|Y|Original</v>
      </c>
    </row>
    <row r="102" spans="2:10" x14ac:dyDescent="0.25">
      <c r="B102" t="str">
        <f t="shared" si="3"/>
        <v>TN626Y|Compatible</v>
      </c>
      <c r="C102" s="2" t="s">
        <v>496</v>
      </c>
      <c r="D102" s="2" t="s">
        <v>5</v>
      </c>
      <c r="E102" s="9" t="s">
        <v>324</v>
      </c>
      <c r="F102" s="2" t="s">
        <v>321</v>
      </c>
      <c r="G102" s="7">
        <v>65.599999999999994</v>
      </c>
      <c r="H102" s="10" t="s">
        <v>398</v>
      </c>
      <c r="I102" s="2" t="s">
        <v>394</v>
      </c>
      <c r="J102" s="2" t="str">
        <f>tblprix[[#This Row],[Modele Machine]]&amp;"|"&amp;tblprix[[#This Row],[Référence]]&amp;"|"&amp;tblprix[[#This Row],[Couleur]]&amp;"|"&amp;tblprix[[#This Row],[Type (Original/Compatible)]]</f>
        <v>+451/ +551 / +651 |TN626Y|Y|Compatible</v>
      </c>
    </row>
    <row r="103" spans="2:10" x14ac:dyDescent="0.25">
      <c r="B103" t="str">
        <f t="shared" si="3"/>
        <v>TNP79K|Original</v>
      </c>
      <c r="C103" s="2" t="s">
        <v>401</v>
      </c>
      <c r="D103" s="2" t="s">
        <v>4</v>
      </c>
      <c r="E103" s="9" t="s">
        <v>320</v>
      </c>
      <c r="F103" s="2" t="s">
        <v>330</v>
      </c>
      <c r="G103" s="7">
        <v>27.2</v>
      </c>
      <c r="H103" s="10" t="s">
        <v>400</v>
      </c>
      <c r="I103" s="2" t="s">
        <v>394</v>
      </c>
      <c r="J103" s="2" t="str">
        <f>tblprix[[#This Row],[Modele Machine]]&amp;"|"&amp;tblprix[[#This Row],[Référence]]&amp;"|"&amp;tblprix[[#This Row],[Couleur]]&amp;"|"&amp;tblprix[[#This Row],[Type (Original/Compatible)]]</f>
        <v>+3351i |TNP79K|K|Original</v>
      </c>
    </row>
    <row r="104" spans="2:10" x14ac:dyDescent="0.25">
      <c r="B104" t="str">
        <f t="shared" si="3"/>
        <v>TNP79C|Original</v>
      </c>
      <c r="C104" s="2" t="s">
        <v>402</v>
      </c>
      <c r="D104" s="2" t="s">
        <v>4</v>
      </c>
      <c r="E104" s="9" t="s">
        <v>322</v>
      </c>
      <c r="F104" s="2" t="s">
        <v>330</v>
      </c>
      <c r="G104" s="7">
        <v>33.99</v>
      </c>
      <c r="H104" s="10" t="s">
        <v>400</v>
      </c>
      <c r="I104" s="2" t="s">
        <v>394</v>
      </c>
      <c r="J104" s="2" t="str">
        <f>tblprix[[#This Row],[Modele Machine]]&amp;"|"&amp;tblprix[[#This Row],[Référence]]&amp;"|"&amp;tblprix[[#This Row],[Couleur]]&amp;"|"&amp;tblprix[[#This Row],[Type (Original/Compatible)]]</f>
        <v>+3351i |TNP79C|C|Original</v>
      </c>
    </row>
    <row r="105" spans="2:10" x14ac:dyDescent="0.25">
      <c r="B105" t="str">
        <f t="shared" si="3"/>
        <v>TNP79M|Original</v>
      </c>
      <c r="C105" s="2" t="s">
        <v>403</v>
      </c>
      <c r="D105" s="2" t="s">
        <v>4</v>
      </c>
      <c r="E105" s="9" t="s">
        <v>323</v>
      </c>
      <c r="F105" s="2" t="s">
        <v>330</v>
      </c>
      <c r="G105" s="7">
        <v>33.99</v>
      </c>
      <c r="H105" s="10" t="s">
        <v>400</v>
      </c>
      <c r="I105" s="2" t="s">
        <v>394</v>
      </c>
      <c r="J105" s="2" t="str">
        <f>tblprix[[#This Row],[Modele Machine]]&amp;"|"&amp;tblprix[[#This Row],[Référence]]&amp;"|"&amp;tblprix[[#This Row],[Couleur]]&amp;"|"&amp;tblprix[[#This Row],[Type (Original/Compatible)]]</f>
        <v>+3351i |TNP79M|M|Original</v>
      </c>
    </row>
    <row r="106" spans="2:10" x14ac:dyDescent="0.25">
      <c r="B106" t="str">
        <f t="shared" si="3"/>
        <v>TNP79Y|Original</v>
      </c>
      <c r="C106" s="2" t="s">
        <v>404</v>
      </c>
      <c r="D106" s="2" t="s">
        <v>4</v>
      </c>
      <c r="E106" s="9" t="s">
        <v>324</v>
      </c>
      <c r="F106" s="2" t="s">
        <v>330</v>
      </c>
      <c r="G106" s="7">
        <v>33.99</v>
      </c>
      <c r="H106" s="10" t="s">
        <v>400</v>
      </c>
      <c r="I106" s="2" t="s">
        <v>394</v>
      </c>
      <c r="J106" s="2" t="str">
        <f>tblprix[[#This Row],[Modele Machine]]&amp;"|"&amp;tblprix[[#This Row],[Référence]]&amp;"|"&amp;tblprix[[#This Row],[Couleur]]&amp;"|"&amp;tblprix[[#This Row],[Type (Original/Compatible)]]</f>
        <v>+3351i |TNP79Y|Y|Original</v>
      </c>
    </row>
    <row r="107" spans="2:10" x14ac:dyDescent="0.25">
      <c r="B107" t="str">
        <f t="shared" si="3"/>
        <v>TNP81K|Original</v>
      </c>
      <c r="C107" s="2" t="s">
        <v>406</v>
      </c>
      <c r="D107" s="2" t="s">
        <v>4</v>
      </c>
      <c r="E107" s="9" t="s">
        <v>320</v>
      </c>
      <c r="F107" s="2" t="s">
        <v>330</v>
      </c>
      <c r="G107" s="7">
        <v>31.15</v>
      </c>
      <c r="H107" s="10" t="s">
        <v>405</v>
      </c>
      <c r="I107" s="2" t="s">
        <v>394</v>
      </c>
      <c r="J107" s="2" t="str">
        <f>tblprix[[#This Row],[Modele Machine]]&amp;"|"&amp;tblprix[[#This Row],[Référence]]&amp;"|"&amp;tblprix[[#This Row],[Couleur]]&amp;"|"&amp;tblprix[[#This Row],[Type (Original/Compatible)]]</f>
        <v>+4000i|TNP81K|K|Original</v>
      </c>
    </row>
    <row r="108" spans="2:10" x14ac:dyDescent="0.25">
      <c r="B108" t="str">
        <f t="shared" si="3"/>
        <v>TNP81C|Original</v>
      </c>
      <c r="C108" s="2" t="s">
        <v>407</v>
      </c>
      <c r="D108" s="2" t="s">
        <v>4</v>
      </c>
      <c r="E108" s="9" t="s">
        <v>322</v>
      </c>
      <c r="F108" s="2" t="s">
        <v>330</v>
      </c>
      <c r="G108" s="7">
        <v>37.53</v>
      </c>
      <c r="H108" s="10" t="s">
        <v>405</v>
      </c>
      <c r="I108" s="2" t="s">
        <v>394</v>
      </c>
      <c r="J108" s="2" t="str">
        <f>tblprix[[#This Row],[Modele Machine]]&amp;"|"&amp;tblprix[[#This Row],[Référence]]&amp;"|"&amp;tblprix[[#This Row],[Couleur]]&amp;"|"&amp;tblprix[[#This Row],[Type (Original/Compatible)]]</f>
        <v>+4000i|TNP81C|C|Original</v>
      </c>
    </row>
    <row r="109" spans="2:10" x14ac:dyDescent="0.25">
      <c r="B109" t="str">
        <f t="shared" si="3"/>
        <v>TNP81M|Original</v>
      </c>
      <c r="C109" s="2" t="s">
        <v>408</v>
      </c>
      <c r="D109" s="2" t="s">
        <v>4</v>
      </c>
      <c r="E109" s="9" t="s">
        <v>323</v>
      </c>
      <c r="F109" s="2" t="s">
        <v>330</v>
      </c>
      <c r="G109" s="7">
        <v>37.53</v>
      </c>
      <c r="H109" s="10" t="s">
        <v>405</v>
      </c>
      <c r="I109" s="2" t="s">
        <v>394</v>
      </c>
      <c r="J109" s="2" t="str">
        <f>tblprix[[#This Row],[Modele Machine]]&amp;"|"&amp;tblprix[[#This Row],[Référence]]&amp;"|"&amp;tblprix[[#This Row],[Couleur]]&amp;"|"&amp;tblprix[[#This Row],[Type (Original/Compatible)]]</f>
        <v>+4000i|TNP81M|M|Original</v>
      </c>
    </row>
    <row r="110" spans="2:10" x14ac:dyDescent="0.25">
      <c r="B110" t="str">
        <f t="shared" si="3"/>
        <v>TNP81Y|Original</v>
      </c>
      <c r="C110" s="2" t="s">
        <v>409</v>
      </c>
      <c r="D110" s="2" t="s">
        <v>4</v>
      </c>
      <c r="E110" s="9" t="s">
        <v>324</v>
      </c>
      <c r="F110" s="2" t="s">
        <v>330</v>
      </c>
      <c r="G110" s="7">
        <v>37.53</v>
      </c>
      <c r="H110" s="10" t="s">
        <v>405</v>
      </c>
      <c r="I110" s="2" t="s">
        <v>394</v>
      </c>
      <c r="J110" s="2" t="str">
        <f>tblprix[[#This Row],[Modele Machine]]&amp;"|"&amp;tblprix[[#This Row],[Référence]]&amp;"|"&amp;tblprix[[#This Row],[Couleur]]&amp;"|"&amp;tblprix[[#This Row],[Type (Original/Compatible)]]</f>
        <v>+4000i|TNP81Y|Y|Original</v>
      </c>
    </row>
    <row r="111" spans="2:10" x14ac:dyDescent="0.25">
      <c r="B111" t="str">
        <f t="shared" si="3"/>
        <v>TNP80K|Original</v>
      </c>
      <c r="C111" s="2" t="s">
        <v>410</v>
      </c>
      <c r="D111" s="2" t="s">
        <v>4</v>
      </c>
      <c r="E111" s="9" t="s">
        <v>320</v>
      </c>
      <c r="F111" s="2" t="s">
        <v>330</v>
      </c>
      <c r="G111" s="7">
        <v>48.49</v>
      </c>
      <c r="H111" s="10" t="s">
        <v>276</v>
      </c>
      <c r="I111" s="2" t="s">
        <v>394</v>
      </c>
      <c r="J111" s="2" t="str">
        <f>tblprix[[#This Row],[Modele Machine]]&amp;"|"&amp;tblprix[[#This Row],[Référence]]&amp;"|"&amp;tblprix[[#This Row],[Couleur]]&amp;"|"&amp;tblprix[[#This Row],[Type (Original/Compatible)]]</f>
        <v>+3321i|TNP80K|K|Original</v>
      </c>
    </row>
    <row r="112" spans="2:10" x14ac:dyDescent="0.25">
      <c r="B112" t="str">
        <f t="shared" si="3"/>
        <v>TNP80K|Compatible</v>
      </c>
      <c r="C112" s="2" t="s">
        <v>410</v>
      </c>
      <c r="D112" s="2" t="s">
        <v>5</v>
      </c>
      <c r="E112" s="9" t="s">
        <v>320</v>
      </c>
      <c r="F112" s="2" t="s">
        <v>321</v>
      </c>
      <c r="G112" s="7">
        <v>23.75</v>
      </c>
      <c r="H112" s="10" t="s">
        <v>276</v>
      </c>
      <c r="I112" s="2" t="s">
        <v>394</v>
      </c>
      <c r="J112" s="2" t="str">
        <f>tblprix[[#This Row],[Modele Machine]]&amp;"|"&amp;tblprix[[#This Row],[Référence]]&amp;"|"&amp;tblprix[[#This Row],[Couleur]]&amp;"|"&amp;tblprix[[#This Row],[Type (Original/Compatible)]]</f>
        <v>+3321i|TNP80K|K|Compatible</v>
      </c>
    </row>
    <row r="113" spans="2:10" x14ac:dyDescent="0.25">
      <c r="B113" t="str">
        <f t="shared" si="3"/>
        <v>TNP80C|Original</v>
      </c>
      <c r="C113" s="2" t="s">
        <v>411</v>
      </c>
      <c r="D113" s="2" t="s">
        <v>4</v>
      </c>
      <c r="E113" s="9" t="s">
        <v>322</v>
      </c>
      <c r="F113" s="2" t="s">
        <v>330</v>
      </c>
      <c r="G113" s="7">
        <v>47.75</v>
      </c>
      <c r="H113" s="10" t="s">
        <v>276</v>
      </c>
      <c r="I113" s="2" t="s">
        <v>394</v>
      </c>
      <c r="J113" s="2" t="str">
        <f>tblprix[[#This Row],[Modele Machine]]&amp;"|"&amp;tblprix[[#This Row],[Référence]]&amp;"|"&amp;tblprix[[#This Row],[Couleur]]&amp;"|"&amp;tblprix[[#This Row],[Type (Original/Compatible)]]</f>
        <v>+3321i|TNP80C|C|Original</v>
      </c>
    </row>
    <row r="114" spans="2:10" x14ac:dyDescent="0.25">
      <c r="B114" t="str">
        <f t="shared" si="3"/>
        <v>TNP80C|Compatible</v>
      </c>
      <c r="C114" s="2" t="s">
        <v>411</v>
      </c>
      <c r="D114" s="2" t="s">
        <v>5</v>
      </c>
      <c r="E114" s="9" t="s">
        <v>322</v>
      </c>
      <c r="F114" s="2" t="s">
        <v>321</v>
      </c>
      <c r="G114" s="7">
        <v>28</v>
      </c>
      <c r="H114" s="10" t="s">
        <v>276</v>
      </c>
      <c r="I114" s="2" t="s">
        <v>394</v>
      </c>
      <c r="J114" s="2" t="str">
        <f>tblprix[[#This Row],[Modele Machine]]&amp;"|"&amp;tblprix[[#This Row],[Référence]]&amp;"|"&amp;tblprix[[#This Row],[Couleur]]&amp;"|"&amp;tblprix[[#This Row],[Type (Original/Compatible)]]</f>
        <v>+3321i|TNP80C|C|Compatible</v>
      </c>
    </row>
    <row r="115" spans="2:10" x14ac:dyDescent="0.25">
      <c r="B115" t="str">
        <f t="shared" si="3"/>
        <v>TNP80M|Original</v>
      </c>
      <c r="C115" s="2" t="s">
        <v>412</v>
      </c>
      <c r="D115" s="2" t="s">
        <v>4</v>
      </c>
      <c r="E115" s="9" t="s">
        <v>323</v>
      </c>
      <c r="F115" s="2" t="s">
        <v>330</v>
      </c>
      <c r="G115" s="7">
        <v>47.75</v>
      </c>
      <c r="H115" s="10" t="s">
        <v>276</v>
      </c>
      <c r="I115" s="2" t="s">
        <v>394</v>
      </c>
      <c r="J115" s="2" t="str">
        <f>tblprix[[#This Row],[Modele Machine]]&amp;"|"&amp;tblprix[[#This Row],[Référence]]&amp;"|"&amp;tblprix[[#This Row],[Couleur]]&amp;"|"&amp;tblprix[[#This Row],[Type (Original/Compatible)]]</f>
        <v>+3321i|TNP80M|M|Original</v>
      </c>
    </row>
    <row r="116" spans="2:10" x14ac:dyDescent="0.25">
      <c r="B116" t="str">
        <f t="shared" si="3"/>
        <v>TNP80M|Compatible</v>
      </c>
      <c r="C116" s="2" t="s">
        <v>412</v>
      </c>
      <c r="D116" s="2" t="s">
        <v>5</v>
      </c>
      <c r="E116" s="9" t="s">
        <v>323</v>
      </c>
      <c r="F116" s="2" t="s">
        <v>321</v>
      </c>
      <c r="G116" s="7">
        <v>28</v>
      </c>
      <c r="H116" s="10" t="s">
        <v>276</v>
      </c>
      <c r="I116" s="2" t="s">
        <v>394</v>
      </c>
      <c r="J116" s="2" t="str">
        <f>tblprix[[#This Row],[Modele Machine]]&amp;"|"&amp;tblprix[[#This Row],[Référence]]&amp;"|"&amp;tblprix[[#This Row],[Couleur]]&amp;"|"&amp;tblprix[[#This Row],[Type (Original/Compatible)]]</f>
        <v>+3321i|TNP80M|M|Compatible</v>
      </c>
    </row>
    <row r="117" spans="2:10" x14ac:dyDescent="0.25">
      <c r="B117" t="str">
        <f t="shared" si="3"/>
        <v>TNP80Y|Original</v>
      </c>
      <c r="C117" s="2" t="s">
        <v>413</v>
      </c>
      <c r="D117" s="2" t="s">
        <v>4</v>
      </c>
      <c r="E117" s="9" t="s">
        <v>324</v>
      </c>
      <c r="F117" s="2" t="s">
        <v>330</v>
      </c>
      <c r="G117" s="7">
        <v>47.75</v>
      </c>
      <c r="H117" s="10" t="s">
        <v>276</v>
      </c>
      <c r="I117" s="2" t="s">
        <v>394</v>
      </c>
      <c r="J117" s="2" t="str">
        <f>tblprix[[#This Row],[Modele Machine]]&amp;"|"&amp;tblprix[[#This Row],[Référence]]&amp;"|"&amp;tblprix[[#This Row],[Couleur]]&amp;"|"&amp;tblprix[[#This Row],[Type (Original/Compatible)]]</f>
        <v>+3321i|TNP80Y|Y|Original</v>
      </c>
    </row>
    <row r="118" spans="2:10" x14ac:dyDescent="0.25">
      <c r="B118" t="str">
        <f t="shared" si="3"/>
        <v>TNP80Y|Compatible</v>
      </c>
      <c r="C118" s="2" t="s">
        <v>413</v>
      </c>
      <c r="D118" s="2" t="s">
        <v>5</v>
      </c>
      <c r="E118" s="9" t="s">
        <v>324</v>
      </c>
      <c r="F118" s="2" t="s">
        <v>321</v>
      </c>
      <c r="G118" s="7">
        <v>28</v>
      </c>
      <c r="H118" s="10" t="s">
        <v>276</v>
      </c>
      <c r="I118" s="2" t="s">
        <v>394</v>
      </c>
      <c r="J118" s="2" t="str">
        <f>tblprix[[#This Row],[Modele Machine]]&amp;"|"&amp;tblprix[[#This Row],[Référence]]&amp;"|"&amp;tblprix[[#This Row],[Couleur]]&amp;"|"&amp;tblprix[[#This Row],[Type (Original/Compatible)]]</f>
        <v>+3321i|TNP80Y|Y|Compatible</v>
      </c>
    </row>
    <row r="119" spans="2:10" x14ac:dyDescent="0.25">
      <c r="B119" t="str">
        <f t="shared" si="3"/>
        <v>TN227K|Original</v>
      </c>
      <c r="C119" s="2" t="s">
        <v>415</v>
      </c>
      <c r="D119" s="2" t="s">
        <v>4</v>
      </c>
      <c r="E119" s="9" t="s">
        <v>320</v>
      </c>
      <c r="F119" s="2" t="s">
        <v>330</v>
      </c>
      <c r="G119" s="7">
        <v>43.3</v>
      </c>
      <c r="H119" s="10" t="s">
        <v>414</v>
      </c>
      <c r="I119" s="2" t="s">
        <v>394</v>
      </c>
      <c r="J119" s="2" t="str">
        <f>tblprix[[#This Row],[Modele Machine]]&amp;"|"&amp;tblprix[[#This Row],[Référence]]&amp;"|"&amp;tblprix[[#This Row],[Couleur]]&amp;"|"&amp;tblprix[[#This Row],[Type (Original/Compatible)]]</f>
        <v>+257|TN227K|K|Original</v>
      </c>
    </row>
    <row r="120" spans="2:10" x14ac:dyDescent="0.25">
      <c r="B120" t="str">
        <f t="shared" si="3"/>
        <v>TN227K|Compatible</v>
      </c>
      <c r="C120" s="2" t="s">
        <v>415</v>
      </c>
      <c r="D120" s="2" t="s">
        <v>5</v>
      </c>
      <c r="E120" s="9" t="s">
        <v>320</v>
      </c>
      <c r="F120" s="2" t="s">
        <v>321</v>
      </c>
      <c r="G120" s="7">
        <v>28.35</v>
      </c>
      <c r="H120" s="10" t="s">
        <v>414</v>
      </c>
      <c r="I120" s="2" t="s">
        <v>394</v>
      </c>
      <c r="J120" s="2" t="str">
        <f>tblprix[[#This Row],[Modele Machine]]&amp;"|"&amp;tblprix[[#This Row],[Référence]]&amp;"|"&amp;tblprix[[#This Row],[Couleur]]&amp;"|"&amp;tblprix[[#This Row],[Type (Original/Compatible)]]</f>
        <v>+257|TN227K|K|Compatible</v>
      </c>
    </row>
    <row r="121" spans="2:10" x14ac:dyDescent="0.25">
      <c r="B121" t="str">
        <f t="shared" si="3"/>
        <v>TN227C|Original</v>
      </c>
      <c r="C121" s="2" t="s">
        <v>416</v>
      </c>
      <c r="D121" s="2" t="s">
        <v>4</v>
      </c>
      <c r="E121" s="9" t="s">
        <v>322</v>
      </c>
      <c r="F121" s="2" t="s">
        <v>330</v>
      </c>
      <c r="G121" s="7">
        <v>88.13</v>
      </c>
      <c r="H121" s="10" t="s">
        <v>414</v>
      </c>
      <c r="I121" s="2" t="s">
        <v>394</v>
      </c>
      <c r="J121" s="2" t="str">
        <f>tblprix[[#This Row],[Modele Machine]]&amp;"|"&amp;tblprix[[#This Row],[Référence]]&amp;"|"&amp;tblprix[[#This Row],[Couleur]]&amp;"|"&amp;tblprix[[#This Row],[Type (Original/Compatible)]]</f>
        <v>+257|TN227C|C|Original</v>
      </c>
    </row>
    <row r="122" spans="2:10" x14ac:dyDescent="0.25">
      <c r="B122" t="str">
        <f t="shared" si="3"/>
        <v>TN227C|Compatible</v>
      </c>
      <c r="C122" s="2" t="s">
        <v>416</v>
      </c>
      <c r="D122" s="2" t="s">
        <v>5</v>
      </c>
      <c r="E122" s="9" t="s">
        <v>322</v>
      </c>
      <c r="F122" s="2" t="s">
        <v>321</v>
      </c>
      <c r="G122" s="7">
        <v>56.5</v>
      </c>
      <c r="H122" s="10" t="s">
        <v>414</v>
      </c>
      <c r="I122" s="2" t="s">
        <v>394</v>
      </c>
      <c r="J122" s="2" t="str">
        <f>tblprix[[#This Row],[Modele Machine]]&amp;"|"&amp;tblprix[[#This Row],[Référence]]&amp;"|"&amp;tblprix[[#This Row],[Couleur]]&amp;"|"&amp;tblprix[[#This Row],[Type (Original/Compatible)]]</f>
        <v>+257|TN227C|C|Compatible</v>
      </c>
    </row>
    <row r="123" spans="2:10" x14ac:dyDescent="0.25">
      <c r="B123" t="str">
        <f t="shared" si="3"/>
        <v>TN227M|Original</v>
      </c>
      <c r="C123" s="2" t="s">
        <v>417</v>
      </c>
      <c r="D123" s="2" t="s">
        <v>4</v>
      </c>
      <c r="E123" s="9" t="s">
        <v>323</v>
      </c>
      <c r="F123" s="2" t="s">
        <v>330</v>
      </c>
      <c r="G123" s="7">
        <v>88.13</v>
      </c>
      <c r="H123" s="10" t="s">
        <v>414</v>
      </c>
      <c r="I123" s="2" t="s">
        <v>394</v>
      </c>
      <c r="J123" s="2" t="str">
        <f>tblprix[[#This Row],[Modele Machine]]&amp;"|"&amp;tblprix[[#This Row],[Référence]]&amp;"|"&amp;tblprix[[#This Row],[Couleur]]&amp;"|"&amp;tblprix[[#This Row],[Type (Original/Compatible)]]</f>
        <v>+257|TN227M|M|Original</v>
      </c>
    </row>
    <row r="124" spans="2:10" x14ac:dyDescent="0.25">
      <c r="B124" t="str">
        <f t="shared" si="3"/>
        <v>TN227M|Compatible</v>
      </c>
      <c r="C124" s="2" t="s">
        <v>417</v>
      </c>
      <c r="D124" s="2" t="s">
        <v>5</v>
      </c>
      <c r="E124" s="9" t="s">
        <v>323</v>
      </c>
      <c r="F124" s="2" t="s">
        <v>321</v>
      </c>
      <c r="G124" s="7">
        <v>56.5</v>
      </c>
      <c r="H124" s="10" t="s">
        <v>414</v>
      </c>
      <c r="I124" s="2" t="s">
        <v>394</v>
      </c>
      <c r="J124" s="2" t="str">
        <f>tblprix[[#This Row],[Modele Machine]]&amp;"|"&amp;tblprix[[#This Row],[Référence]]&amp;"|"&amp;tblprix[[#This Row],[Couleur]]&amp;"|"&amp;tblprix[[#This Row],[Type (Original/Compatible)]]</f>
        <v>+257|TN227M|M|Compatible</v>
      </c>
    </row>
    <row r="125" spans="2:10" x14ac:dyDescent="0.25">
      <c r="B125" t="str">
        <f t="shared" si="3"/>
        <v>TN227Y|Original</v>
      </c>
      <c r="C125" s="2" t="s">
        <v>418</v>
      </c>
      <c r="D125" s="2" t="s">
        <v>4</v>
      </c>
      <c r="E125" s="9" t="s">
        <v>324</v>
      </c>
      <c r="F125" s="2" t="s">
        <v>330</v>
      </c>
      <c r="G125" s="7">
        <v>88.13</v>
      </c>
      <c r="H125" s="10" t="s">
        <v>414</v>
      </c>
      <c r="I125" s="2" t="s">
        <v>394</v>
      </c>
      <c r="J125" s="2" t="str">
        <f>tblprix[[#This Row],[Modele Machine]]&amp;"|"&amp;tblprix[[#This Row],[Référence]]&amp;"|"&amp;tblprix[[#This Row],[Couleur]]&amp;"|"&amp;tblprix[[#This Row],[Type (Original/Compatible)]]</f>
        <v>+257|TN227Y|Y|Original</v>
      </c>
    </row>
    <row r="126" spans="2:10" x14ac:dyDescent="0.25">
      <c r="B126" t="str">
        <f t="shared" si="3"/>
        <v>TN227Y|Compatible</v>
      </c>
      <c r="C126" s="2" t="s">
        <v>418</v>
      </c>
      <c r="D126" s="2" t="s">
        <v>5</v>
      </c>
      <c r="E126" s="9" t="s">
        <v>324</v>
      </c>
      <c r="F126" s="2" t="s">
        <v>321</v>
      </c>
      <c r="G126" s="7">
        <v>56.5</v>
      </c>
      <c r="H126" s="10" t="s">
        <v>414</v>
      </c>
      <c r="I126" s="2" t="s">
        <v>394</v>
      </c>
      <c r="J126" s="2" t="str">
        <f>tblprix[[#This Row],[Modele Machine]]&amp;"|"&amp;tblprix[[#This Row],[Référence]]&amp;"|"&amp;tblprix[[#This Row],[Couleur]]&amp;"|"&amp;tblprix[[#This Row],[Type (Original/Compatible)]]</f>
        <v>+257|TN227Y|Y|Compatible</v>
      </c>
    </row>
    <row r="127" spans="2:10" x14ac:dyDescent="0.25">
      <c r="B127" t="str">
        <f t="shared" si="3"/>
        <v>TN323K|Original</v>
      </c>
      <c r="C127" s="2" t="s">
        <v>419</v>
      </c>
      <c r="D127" s="2" t="s">
        <v>4</v>
      </c>
      <c r="E127" s="9" t="s">
        <v>320</v>
      </c>
      <c r="F127" s="2" t="s">
        <v>330</v>
      </c>
      <c r="G127" s="7">
        <v>51.38</v>
      </c>
      <c r="H127" s="11" t="s">
        <v>454</v>
      </c>
      <c r="I127" s="2" t="s">
        <v>394</v>
      </c>
      <c r="J127" s="2" t="str">
        <f>tblprix[[#This Row],[Modele Machine]]&amp;"|"&amp;tblprix[[#This Row],[Référence]]&amp;"|"&amp;tblprix[[#This Row],[Couleur]]&amp;"|"&amp;tblprix[[#This Row],[Type (Original/Compatible)]]</f>
        <v>287i|TN323K|K|Original</v>
      </c>
    </row>
    <row r="128" spans="2:10" x14ac:dyDescent="0.25">
      <c r="B128" t="str">
        <f t="shared" si="3"/>
        <v>TN323K|Compatible</v>
      </c>
      <c r="C128" s="2" t="s">
        <v>419</v>
      </c>
      <c r="D128" s="2" t="s">
        <v>5</v>
      </c>
      <c r="E128" s="9" t="s">
        <v>320</v>
      </c>
      <c r="F128" s="2" t="s">
        <v>321</v>
      </c>
      <c r="G128" s="7">
        <v>31</v>
      </c>
      <c r="H128" s="11" t="s">
        <v>454</v>
      </c>
      <c r="I128" s="2" t="s">
        <v>394</v>
      </c>
      <c r="J128" s="2" t="str">
        <f>tblprix[[#This Row],[Modele Machine]]&amp;"|"&amp;tblprix[[#This Row],[Référence]]&amp;"|"&amp;tblprix[[#This Row],[Couleur]]&amp;"|"&amp;tblprix[[#This Row],[Type (Original/Compatible)]]</f>
        <v>287i|TN323K|K|Compatible</v>
      </c>
    </row>
    <row r="129" spans="2:10" x14ac:dyDescent="0.25">
      <c r="B129" t="str">
        <f t="shared" si="3"/>
        <v>W2200|Compatible</v>
      </c>
      <c r="C129" s="2" t="s">
        <v>421</v>
      </c>
      <c r="D129" s="2" t="s">
        <v>5</v>
      </c>
      <c r="E129" s="9" t="s">
        <v>320</v>
      </c>
      <c r="F129" s="2" t="s">
        <v>425</v>
      </c>
      <c r="G129" s="7">
        <v>61.68</v>
      </c>
      <c r="H129" s="10" t="s">
        <v>420</v>
      </c>
      <c r="I129" s="2" t="s">
        <v>426</v>
      </c>
      <c r="J129" s="2" t="str">
        <f>tblprix[[#This Row],[Modele Machine]]&amp;"|"&amp;tblprix[[#This Row],[Référence]]&amp;"|"&amp;tblprix[[#This Row],[Couleur]]&amp;"|"&amp;tblprix[[#This Row],[Type (Original/Compatible)]]</f>
        <v>MFP4302|W2200|K|Compatible</v>
      </c>
    </row>
    <row r="130" spans="2:10" x14ac:dyDescent="0.25">
      <c r="B130" t="str">
        <f t="shared" si="3"/>
        <v>W2201|Compatible</v>
      </c>
      <c r="C130" s="2" t="s">
        <v>422</v>
      </c>
      <c r="D130" s="2" t="s">
        <v>5</v>
      </c>
      <c r="E130" s="9" t="s">
        <v>322</v>
      </c>
      <c r="F130" s="2" t="s">
        <v>425</v>
      </c>
      <c r="G130" s="7">
        <v>102.82</v>
      </c>
      <c r="H130" s="10" t="s">
        <v>420</v>
      </c>
      <c r="I130" s="2" t="s">
        <v>426</v>
      </c>
      <c r="J130" s="2" t="str">
        <f>tblprix[[#This Row],[Modele Machine]]&amp;"|"&amp;tblprix[[#This Row],[Référence]]&amp;"|"&amp;tblprix[[#This Row],[Couleur]]&amp;"|"&amp;tblprix[[#This Row],[Type (Original/Compatible)]]</f>
        <v>MFP4302|W2201|C|Compatible</v>
      </c>
    </row>
    <row r="131" spans="2:10" x14ac:dyDescent="0.25">
      <c r="B131" t="str">
        <f t="shared" ref="B131:B162" si="4">C131&amp;"|"&amp;D131</f>
        <v>W2203|Compatible</v>
      </c>
      <c r="C131" s="2" t="s">
        <v>423</v>
      </c>
      <c r="D131" s="2" t="s">
        <v>5</v>
      </c>
      <c r="E131" s="9" t="s">
        <v>323</v>
      </c>
      <c r="F131" s="2" t="s">
        <v>425</v>
      </c>
      <c r="G131" s="7">
        <v>102.82</v>
      </c>
      <c r="H131" s="2" t="s">
        <v>420</v>
      </c>
      <c r="I131" s="2" t="s">
        <v>426</v>
      </c>
      <c r="J131" s="2" t="str">
        <f>tblprix[[#This Row],[Modele Machine]]&amp;"|"&amp;tblprix[[#This Row],[Référence]]&amp;"|"&amp;tblprix[[#This Row],[Couleur]]&amp;"|"&amp;tblprix[[#This Row],[Type (Original/Compatible)]]</f>
        <v>MFP4302|W2203|M|Compatible</v>
      </c>
    </row>
    <row r="132" spans="2:10" x14ac:dyDescent="0.25">
      <c r="B132" t="str">
        <f t="shared" si="4"/>
        <v>W2202|Compatible</v>
      </c>
      <c r="C132" s="2" t="s">
        <v>424</v>
      </c>
      <c r="D132" s="2" t="s">
        <v>5</v>
      </c>
      <c r="E132" s="9" t="s">
        <v>324</v>
      </c>
      <c r="F132" s="2" t="s">
        <v>425</v>
      </c>
      <c r="G132" s="7">
        <v>102.82</v>
      </c>
      <c r="H132" s="2" t="s">
        <v>420</v>
      </c>
      <c r="I132" s="2" t="s">
        <v>426</v>
      </c>
      <c r="J132" s="2" t="str">
        <f>tblprix[[#This Row],[Modele Machine]]&amp;"|"&amp;tblprix[[#This Row],[Référence]]&amp;"|"&amp;tblprix[[#This Row],[Couleur]]&amp;"|"&amp;tblprix[[#This Row],[Type (Original/Compatible)]]</f>
        <v>MFP4302|W2202|Y|Compatible</v>
      </c>
    </row>
    <row r="133" spans="2:10" x14ac:dyDescent="0.25">
      <c r="B133" t="str">
        <f t="shared" si="4"/>
        <v>WX103|Compatible</v>
      </c>
      <c r="C133" s="2" t="s">
        <v>427</v>
      </c>
      <c r="D133" s="2" t="s">
        <v>5</v>
      </c>
      <c r="E133" s="9" t="s">
        <v>431</v>
      </c>
      <c r="F133" s="2" t="s">
        <v>321</v>
      </c>
      <c r="G133" s="7">
        <v>13.7</v>
      </c>
      <c r="H133" s="2"/>
      <c r="I133" s="2" t="s">
        <v>330</v>
      </c>
      <c r="J133" s="2" t="str">
        <f>tblprix[[#This Row],[Modele Machine]]&amp;"|"&amp;tblprix[[#This Row],[Référence]]&amp;"|"&amp;tblprix[[#This Row],[Couleur]]&amp;"|"&amp;tblprix[[#This Row],[Type (Original/Compatible)]]</f>
        <v>|WX103|BC|Compatible</v>
      </c>
    </row>
    <row r="134" spans="2:10" x14ac:dyDescent="0.25">
      <c r="B134" t="str">
        <f t="shared" si="4"/>
        <v>WX104|Compatible</v>
      </c>
      <c r="C134" s="2" t="s">
        <v>428</v>
      </c>
      <c r="D134" s="2" t="s">
        <v>5</v>
      </c>
      <c r="E134" s="9" t="s">
        <v>431</v>
      </c>
      <c r="F134" s="2" t="s">
        <v>321</v>
      </c>
      <c r="G134" s="7">
        <v>16.100000000000001</v>
      </c>
      <c r="H134" s="2"/>
      <c r="I134" s="2" t="s">
        <v>330</v>
      </c>
      <c r="J134" s="2" t="str">
        <f>tblprix[[#This Row],[Modele Machine]]&amp;"|"&amp;tblprix[[#This Row],[Référence]]&amp;"|"&amp;tblprix[[#This Row],[Couleur]]&amp;"|"&amp;tblprix[[#This Row],[Type (Original/Compatible)]]</f>
        <v>|WX104|BC|Compatible</v>
      </c>
    </row>
    <row r="135" spans="2:10" x14ac:dyDescent="0.25">
      <c r="B135" t="str">
        <f t="shared" si="4"/>
        <v>WX105|Original</v>
      </c>
      <c r="C135" s="2" t="s">
        <v>429</v>
      </c>
      <c r="D135" s="2" t="s">
        <v>4</v>
      </c>
      <c r="E135" s="9" t="s">
        <v>431</v>
      </c>
      <c r="F135" s="2" t="s">
        <v>330</v>
      </c>
      <c r="G135" s="7"/>
      <c r="H135" s="2"/>
      <c r="I135" s="2" t="s">
        <v>330</v>
      </c>
      <c r="J135" s="2" t="str">
        <f>tblprix[[#This Row],[Modele Machine]]&amp;"|"&amp;tblprix[[#This Row],[Référence]]&amp;"|"&amp;tblprix[[#This Row],[Couleur]]&amp;"|"&amp;tblprix[[#This Row],[Type (Original/Compatible)]]</f>
        <v>|WX105|BC|Original</v>
      </c>
    </row>
    <row r="136" spans="2:10" x14ac:dyDescent="0.25">
      <c r="B136" t="str">
        <f t="shared" si="4"/>
        <v>WX105|Compatible</v>
      </c>
      <c r="C136" s="2" t="s">
        <v>429</v>
      </c>
      <c r="D136" s="2" t="s">
        <v>5</v>
      </c>
      <c r="E136" s="9" t="s">
        <v>431</v>
      </c>
      <c r="F136" s="2" t="s">
        <v>321</v>
      </c>
      <c r="G136" s="7">
        <v>14.9</v>
      </c>
      <c r="H136" s="2"/>
      <c r="I136" s="2" t="s">
        <v>330</v>
      </c>
      <c r="J136" s="2" t="str">
        <f>tblprix[[#This Row],[Modele Machine]]&amp;"|"&amp;tblprix[[#This Row],[Référence]]&amp;"|"&amp;tblprix[[#This Row],[Couleur]]&amp;"|"&amp;tblprix[[#This Row],[Type (Original/Compatible)]]</f>
        <v>|WX105|BC|Compatible</v>
      </c>
    </row>
    <row r="137" spans="2:10" x14ac:dyDescent="0.25">
      <c r="B137" t="str">
        <f t="shared" si="4"/>
        <v>WX107|Compatible</v>
      </c>
      <c r="C137" s="2" t="s">
        <v>430</v>
      </c>
      <c r="D137" s="2" t="s">
        <v>5</v>
      </c>
      <c r="E137" s="9" t="s">
        <v>431</v>
      </c>
      <c r="F137" s="2" t="s">
        <v>360</v>
      </c>
      <c r="G137" s="7">
        <v>14.6</v>
      </c>
      <c r="H137" s="2"/>
      <c r="I137" s="2" t="s">
        <v>330</v>
      </c>
      <c r="J137" s="2" t="str">
        <f>tblprix[[#This Row],[Modele Machine]]&amp;"|"&amp;tblprix[[#This Row],[Référence]]&amp;"|"&amp;tblprix[[#This Row],[Couleur]]&amp;"|"&amp;tblprix[[#This Row],[Type (Original/Compatible)]]</f>
        <v>|WX107|BC|Compatible</v>
      </c>
    </row>
    <row r="138" spans="2:10" x14ac:dyDescent="0.25">
      <c r="B138" t="str">
        <f t="shared" si="4"/>
        <v>WBP08|Compatible</v>
      </c>
      <c r="C138" s="2" t="s">
        <v>432</v>
      </c>
      <c r="D138" s="2" t="s">
        <v>5</v>
      </c>
      <c r="E138" s="9" t="s">
        <v>431</v>
      </c>
      <c r="F138" s="2" t="s">
        <v>360</v>
      </c>
      <c r="G138" s="7">
        <v>15.1</v>
      </c>
      <c r="H138" s="2" t="s">
        <v>264</v>
      </c>
      <c r="I138" s="2" t="s">
        <v>330</v>
      </c>
      <c r="J138" s="2" t="str">
        <f>tblprix[[#This Row],[Référence]]&amp;"|"&amp;tblprix[[#This Row],[Couleur]]&amp;"|"&amp;tblprix[[#This Row],[Type (Original/Compatible)]]</f>
        <v>WBP08|BC|Compatible</v>
      </c>
    </row>
    <row r="139" spans="2:10" x14ac:dyDescent="0.25">
      <c r="B139" t="str">
        <f t="shared" si="4"/>
        <v>|</v>
      </c>
      <c r="C139" s="2"/>
      <c r="D139" s="2"/>
      <c r="E139" s="9"/>
      <c r="F139" s="2"/>
      <c r="G139" s="7"/>
      <c r="H139" s="2"/>
      <c r="J139" s="2"/>
    </row>
    <row r="140" spans="2:10" x14ac:dyDescent="0.25">
      <c r="B140" t="str">
        <f t="shared" si="4"/>
        <v>|</v>
      </c>
      <c r="C140" s="2"/>
      <c r="D140" s="2"/>
      <c r="E140" s="9"/>
      <c r="F140" s="2"/>
      <c r="G140" s="7"/>
      <c r="H140" s="2"/>
      <c r="I140">
        <f>COUNTIF(tblprix[ClePrix], tblSorties[[#This Row],[Cleprix]])</f>
        <v>0</v>
      </c>
      <c r="J140" s="2" t="str">
        <f>tblprix[[#This Row],[Modele Machine]]&amp;"|"&amp;tblprix[[#This Row],[Référence]]&amp;"|"&amp;tblprix[[#This Row],[Couleur]]&amp;"|"&amp;tblprix[[#This Row],[Type (Original/Compatible)]]</f>
        <v>|||</v>
      </c>
    </row>
    <row r="141" spans="2:10" x14ac:dyDescent="0.25">
      <c r="B141" t="str">
        <f t="shared" si="4"/>
        <v>|</v>
      </c>
      <c r="C141" s="2"/>
      <c r="D141" s="2"/>
      <c r="E141" s="9"/>
      <c r="F141" s="2"/>
      <c r="G141" s="7"/>
      <c r="H141" s="2"/>
      <c r="J141" s="2" t="str">
        <f>tblprix[[#This Row],[Modele Machine]]&amp;"|"&amp;tblprix[[#This Row],[Référence]]&amp;"|"&amp;tblprix[[#This Row],[Couleur]]&amp;"|"&amp;tblprix[[#This Row],[Type (Original/Compatible)]]</f>
        <v>|||</v>
      </c>
    </row>
    <row r="142" spans="2:10" x14ac:dyDescent="0.25">
      <c r="B142" t="str">
        <f t="shared" si="4"/>
        <v>|</v>
      </c>
      <c r="C142" s="2"/>
      <c r="D142" s="2"/>
      <c r="E142" s="9"/>
      <c r="F142" s="2"/>
      <c r="G142" s="7"/>
      <c r="H142" s="2"/>
      <c r="J142" s="2" t="str">
        <f>tblprix[[#This Row],[Modele Machine]]&amp;"|"&amp;tblprix[[#This Row],[Référence]]&amp;"|"&amp;tblprix[[#This Row],[Couleur]]&amp;"|"&amp;tblprix[[#This Row],[Type (Original/Compatible)]]</f>
        <v>|||</v>
      </c>
    </row>
    <row r="143" spans="2:10" x14ac:dyDescent="0.25">
      <c r="B143" t="str">
        <f t="shared" si="4"/>
        <v>|</v>
      </c>
      <c r="C143" s="2"/>
      <c r="D143" s="2"/>
      <c r="E143" s="9"/>
      <c r="F143" s="2"/>
      <c r="G143" s="7"/>
      <c r="H143" s="2"/>
      <c r="J143" s="2"/>
    </row>
    <row r="144" spans="2:10" x14ac:dyDescent="0.25">
      <c r="B144" t="str">
        <f t="shared" si="4"/>
        <v>|</v>
      </c>
      <c r="C144" s="2"/>
      <c r="D144" s="2"/>
      <c r="E144" s="9"/>
      <c r="F144" s="2"/>
      <c r="G144" s="7"/>
      <c r="H144" s="2"/>
      <c r="J144" s="2" t="str">
        <f>tblprix[[#This Row],[Modele Machine]]&amp;"|"&amp;tblprix[[#This Row],[Référence]]&amp;"|"&amp;tblprix[[#This Row],[Couleur]]&amp;"|"&amp;tblprix[[#This Row],[Type (Original/Compatible)]]</f>
        <v>|||</v>
      </c>
    </row>
    <row r="145" spans="2:10" x14ac:dyDescent="0.25">
      <c r="B145" t="str">
        <f t="shared" si="4"/>
        <v>|</v>
      </c>
      <c r="C145" s="2"/>
      <c r="D145" s="2"/>
      <c r="E145" s="9"/>
      <c r="F145" s="2"/>
      <c r="G145" s="7"/>
      <c r="H145" s="2"/>
      <c r="J145" s="2" t="str">
        <f>tblprix[[#This Row],[Modele Machine]]&amp;"|"&amp;tblprix[[#This Row],[Référence]]&amp;"|"&amp;tblprix[[#This Row],[Couleur]]&amp;"|"&amp;tblprix[[#This Row],[Type (Original/Compatible)]]</f>
        <v>|||</v>
      </c>
    </row>
    <row r="146" spans="2:10" x14ac:dyDescent="0.25">
      <c r="B146" t="str">
        <f t="shared" si="4"/>
        <v>|</v>
      </c>
      <c r="C146" s="2"/>
      <c r="D146" s="2"/>
      <c r="E146" s="9"/>
      <c r="F146" s="2"/>
      <c r="G146" s="7"/>
      <c r="H146" s="2"/>
      <c r="J146" s="2" t="str">
        <f>tblprix[[#This Row],[Modele Machine]]&amp;"|"&amp;tblprix[[#This Row],[Référence]]&amp;"|"&amp;tblprix[[#This Row],[Couleur]]&amp;"|"&amp;tblprix[[#This Row],[Type (Original/Compatible)]]</f>
        <v>|||</v>
      </c>
    </row>
    <row r="147" spans="2:10" x14ac:dyDescent="0.25">
      <c r="B147" t="str">
        <f t="shared" si="4"/>
        <v>|</v>
      </c>
      <c r="C147" s="2"/>
      <c r="D147" s="2"/>
      <c r="E147" s="9"/>
      <c r="F147" s="2"/>
      <c r="G147" s="7"/>
      <c r="H147" s="2"/>
      <c r="J147" s="2" t="str">
        <f>tblprix[[#This Row],[Modele Machine]]&amp;"|"&amp;tblprix[[#This Row],[Référence]]&amp;"|"&amp;tblprix[[#This Row],[Couleur]]&amp;"|"&amp;tblprix[[#This Row],[Type (Original/Compatible)]]</f>
        <v>|||</v>
      </c>
    </row>
    <row r="148" spans="2:10" x14ac:dyDescent="0.25">
      <c r="B148" t="str">
        <f t="shared" si="4"/>
        <v>|</v>
      </c>
      <c r="C148" s="2"/>
      <c r="D148" s="2"/>
      <c r="E148" s="9"/>
      <c r="F148" s="2"/>
      <c r="G148" s="7"/>
      <c r="H148" s="2"/>
      <c r="J148" s="2" t="str">
        <f>tblprix[[#This Row],[Modele Machine]]&amp;"|"&amp;tblprix[[#This Row],[Référence]]&amp;"|"&amp;tblprix[[#This Row],[Couleur]]&amp;"|"&amp;tblprix[[#This Row],[Type (Original/Compatible)]]</f>
        <v>|||</v>
      </c>
    </row>
    <row r="149" spans="2:10" x14ac:dyDescent="0.25">
      <c r="B149" t="str">
        <f t="shared" si="4"/>
        <v>|</v>
      </c>
      <c r="C149" s="2"/>
      <c r="D149" s="2"/>
      <c r="E149" s="9"/>
      <c r="F149" s="2"/>
      <c r="G149" s="7"/>
      <c r="H149" s="2"/>
      <c r="J149" s="2" t="str">
        <f>tblprix[[#This Row],[Modele Machine]]&amp;"|"&amp;tblprix[[#This Row],[Référence]]&amp;"|"&amp;tblprix[[#This Row],[Couleur]]&amp;"|"&amp;tblprix[[#This Row],[Type (Original/Compatible)]]</f>
        <v>|||</v>
      </c>
    </row>
    <row r="150" spans="2:10" x14ac:dyDescent="0.25">
      <c r="B150" t="str">
        <f t="shared" si="4"/>
        <v>|</v>
      </c>
      <c r="C150" s="2"/>
      <c r="D150" s="2"/>
      <c r="E150" s="9"/>
      <c r="F150" s="2"/>
      <c r="G150" s="7"/>
      <c r="H150" s="2"/>
      <c r="J150" s="2" t="str">
        <f>tblprix[[#This Row],[Modele Machine]]&amp;"|"&amp;tblprix[[#This Row],[Référence]]&amp;"|"&amp;tblprix[[#This Row],[Couleur]]&amp;"|"&amp;tblprix[[#This Row],[Type (Original/Compatible)]]</f>
        <v>|||</v>
      </c>
    </row>
    <row r="151" spans="2:10" x14ac:dyDescent="0.25">
      <c r="B151" t="str">
        <f t="shared" si="4"/>
        <v>|</v>
      </c>
      <c r="C151" s="2"/>
      <c r="D151" s="2"/>
      <c r="E151" s="9"/>
      <c r="F151" s="2"/>
      <c r="G151" s="7"/>
      <c r="H151" s="2"/>
      <c r="J151" s="2" t="str">
        <f>tblprix[[#This Row],[Modele Machine]]&amp;"|"&amp;tblprix[[#This Row],[Référence]]&amp;"|"&amp;tblprix[[#This Row],[Couleur]]&amp;"|"&amp;tblprix[[#This Row],[Type (Original/Compatible)]]</f>
        <v>|||</v>
      </c>
    </row>
    <row r="152" spans="2:10" x14ac:dyDescent="0.25">
      <c r="B152" t="str">
        <f t="shared" si="4"/>
        <v>|</v>
      </c>
      <c r="C152" s="2"/>
      <c r="D152" s="2"/>
      <c r="E152" s="9"/>
      <c r="F152" s="2"/>
      <c r="G152" s="7"/>
      <c r="H152" s="2"/>
      <c r="J152" s="2" t="str">
        <f>tblprix[[#This Row],[Modele Machine]]&amp;"|"&amp;tblprix[[#This Row],[Référence]]&amp;"|"&amp;tblprix[[#This Row],[Couleur]]&amp;"|"&amp;tblprix[[#This Row],[Type (Original/Compatible)]]</f>
        <v>|||</v>
      </c>
    </row>
    <row r="153" spans="2:10" x14ac:dyDescent="0.25">
      <c r="B153" t="str">
        <f t="shared" si="4"/>
        <v>|</v>
      </c>
      <c r="C153" s="2"/>
      <c r="D153" s="2"/>
      <c r="E153" s="9"/>
      <c r="F153" s="2"/>
      <c r="G153" s="7"/>
      <c r="H153" s="2"/>
      <c r="J153" s="2" t="str">
        <f>tblprix[[#This Row],[Modele Machine]]&amp;"|"&amp;tblprix[[#This Row],[Référence]]&amp;"|"&amp;tblprix[[#This Row],[Couleur]]&amp;"|"&amp;tblprix[[#This Row],[Type (Original/Compatible)]]</f>
        <v>|||</v>
      </c>
    </row>
    <row r="154" spans="2:10" x14ac:dyDescent="0.25">
      <c r="B154" t="str">
        <f t="shared" si="4"/>
        <v>|</v>
      </c>
      <c r="C154" s="2"/>
      <c r="D154" s="2"/>
      <c r="E154" s="9"/>
      <c r="F154" s="2"/>
      <c r="G154" s="7"/>
      <c r="H154" s="2"/>
      <c r="J154" s="2" t="str">
        <f>tblprix[[#This Row],[Modele Machine]]&amp;"|"&amp;tblprix[[#This Row],[Référence]]&amp;"|"&amp;tblprix[[#This Row],[Couleur]]&amp;"|"&amp;tblprix[[#This Row],[Type (Original/Compatible)]]</f>
        <v>|||</v>
      </c>
    </row>
    <row r="155" spans="2:10" x14ac:dyDescent="0.25">
      <c r="B155" t="str">
        <f t="shared" si="4"/>
        <v>|</v>
      </c>
      <c r="C155" s="2"/>
      <c r="D155" s="2"/>
      <c r="E155" s="9"/>
      <c r="F155" s="2"/>
      <c r="G155" s="7"/>
      <c r="H155" s="2"/>
      <c r="J155" s="2" t="str">
        <f>tblprix[[#This Row],[Modele Machine]]&amp;"|"&amp;tblprix[[#This Row],[Référence]]&amp;"|"&amp;tblprix[[#This Row],[Couleur]]&amp;"|"&amp;tblprix[[#This Row],[Type (Original/Compatible)]]</f>
        <v>|||</v>
      </c>
    </row>
    <row r="156" spans="2:10" x14ac:dyDescent="0.25">
      <c r="B156" t="str">
        <f t="shared" si="4"/>
        <v>|</v>
      </c>
      <c r="C156" s="2"/>
      <c r="D156" s="2"/>
      <c r="E156" s="9"/>
      <c r="F156" s="2"/>
      <c r="G156" s="7"/>
      <c r="H156" s="2"/>
      <c r="J156" s="2" t="str">
        <f>tblprix[[#This Row],[Modele Machine]]&amp;"|"&amp;tblprix[[#This Row],[Référence]]&amp;"|"&amp;tblprix[[#This Row],[Couleur]]&amp;"|"&amp;tblprix[[#This Row],[Type (Original/Compatible)]]</f>
        <v>|||</v>
      </c>
    </row>
    <row r="157" spans="2:10" x14ac:dyDescent="0.25">
      <c r="B157" t="str">
        <f t="shared" si="4"/>
        <v>|</v>
      </c>
      <c r="C157" s="2"/>
      <c r="D157" s="2"/>
      <c r="E157" s="9"/>
      <c r="F157" s="2"/>
      <c r="G157" s="7"/>
      <c r="H157" s="2"/>
      <c r="J157" s="2" t="str">
        <f>tblprix[[#This Row],[Modele Machine]]&amp;"|"&amp;tblprix[[#This Row],[Référence]]&amp;"|"&amp;tblprix[[#This Row],[Couleur]]&amp;"|"&amp;tblprix[[#This Row],[Type (Original/Compatible)]]</f>
        <v>|||</v>
      </c>
    </row>
    <row r="158" spans="2:10" x14ac:dyDescent="0.25">
      <c r="B158" t="str">
        <f t="shared" si="4"/>
        <v>|</v>
      </c>
      <c r="C158" s="2"/>
      <c r="D158" s="2"/>
      <c r="E158" s="9"/>
      <c r="F158" s="2"/>
      <c r="G158" s="7"/>
      <c r="H158" s="2"/>
      <c r="J158" s="2" t="str">
        <f>tblprix[[#This Row],[Modele Machine]]&amp;"|"&amp;tblprix[[#This Row],[Référence]]&amp;"|"&amp;tblprix[[#This Row],[Couleur]]&amp;"|"&amp;tblprix[[#This Row],[Type (Original/Compatible)]]</f>
        <v>|||</v>
      </c>
    </row>
    <row r="159" spans="2:10" x14ac:dyDescent="0.25">
      <c r="B159" t="str">
        <f t="shared" si="4"/>
        <v>|</v>
      </c>
      <c r="C159" s="2"/>
      <c r="D159" s="2"/>
      <c r="E159" s="9"/>
      <c r="F159" s="2"/>
      <c r="G159" s="7"/>
      <c r="H159" s="2"/>
      <c r="J159" s="2" t="str">
        <f>tblprix[[#This Row],[Modele Machine]]&amp;"|"&amp;tblprix[[#This Row],[Référence]]&amp;"|"&amp;tblprix[[#This Row],[Couleur]]&amp;"|"&amp;tblprix[[#This Row],[Type (Original/Compatible)]]</f>
        <v>|||</v>
      </c>
    </row>
    <row r="160" spans="2:10" x14ac:dyDescent="0.25">
      <c r="B160" t="str">
        <f t="shared" si="4"/>
        <v>|</v>
      </c>
      <c r="C160" s="2"/>
      <c r="D160" s="2"/>
      <c r="E160" s="9"/>
      <c r="F160" s="2"/>
      <c r="G160" s="7"/>
      <c r="H160" s="2"/>
      <c r="J160" s="2" t="str">
        <f>tblprix[[#This Row],[Modele Machine]]&amp;"|"&amp;tblprix[[#This Row],[Référence]]&amp;"|"&amp;tblprix[[#This Row],[Couleur]]&amp;"|"&amp;tblprix[[#This Row],[Type (Original/Compatible)]]</f>
        <v>|||</v>
      </c>
    </row>
    <row r="161" spans="2:10" x14ac:dyDescent="0.25">
      <c r="B161" t="str">
        <f t="shared" si="4"/>
        <v>|</v>
      </c>
      <c r="C161" s="2"/>
      <c r="D161" s="2"/>
      <c r="E161" s="9"/>
      <c r="F161" s="2"/>
      <c r="G161" s="7"/>
      <c r="H161" s="2"/>
      <c r="J161" s="2" t="str">
        <f>tblprix[[#This Row],[Modele Machine]]&amp;"|"&amp;tblprix[[#This Row],[Référence]]&amp;"|"&amp;tblprix[[#This Row],[Couleur]]&amp;"|"&amp;tblprix[[#This Row],[Type (Original/Compatible)]]</f>
        <v>|||</v>
      </c>
    </row>
    <row r="162" spans="2:10" x14ac:dyDescent="0.25">
      <c r="B162" t="str">
        <f t="shared" si="4"/>
        <v>|</v>
      </c>
      <c r="C162" s="2"/>
      <c r="D162" s="2"/>
      <c r="E162" s="9"/>
      <c r="F162" s="2"/>
      <c r="G162" s="7"/>
      <c r="H162" s="2"/>
      <c r="J162" s="2" t="str">
        <f>tblprix[[#This Row],[Modele Machine]]&amp;"|"&amp;tblprix[[#This Row],[Référence]]&amp;"|"&amp;tblprix[[#This Row],[Couleur]]&amp;"|"&amp;tblprix[[#This Row],[Type (Original/Compatible)]]</f>
        <v>|||</v>
      </c>
    </row>
    <row r="163" spans="2:10" x14ac:dyDescent="0.25">
      <c r="B163" t="str">
        <f t="shared" ref="B163:B168" si="5">C163&amp;"|"&amp;D163</f>
        <v>|</v>
      </c>
      <c r="C163" s="2"/>
      <c r="D163" s="2"/>
      <c r="E163" s="9"/>
      <c r="F163" s="2"/>
      <c r="G163" s="7"/>
      <c r="H163" s="2"/>
      <c r="J163" s="2" t="str">
        <f>tblprix[[#This Row],[Modele Machine]]&amp;"|"&amp;tblprix[[#This Row],[Référence]]&amp;"|"&amp;tblprix[[#This Row],[Couleur]]&amp;"|"&amp;tblprix[[#This Row],[Type (Original/Compatible)]]</f>
        <v>|||</v>
      </c>
    </row>
    <row r="164" spans="2:10" x14ac:dyDescent="0.25">
      <c r="B164" t="str">
        <f t="shared" si="5"/>
        <v>|</v>
      </c>
      <c r="C164" s="2"/>
      <c r="D164" s="2"/>
      <c r="E164" s="9"/>
      <c r="F164" s="2"/>
      <c r="G164" s="7"/>
      <c r="H164" s="2"/>
      <c r="J164" s="2" t="str">
        <f>tblprix[[#This Row],[Modele Machine]]&amp;"|"&amp;tblprix[[#This Row],[Référence]]&amp;"|"&amp;tblprix[[#This Row],[Couleur]]&amp;"|"&amp;tblprix[[#This Row],[Type (Original/Compatible)]]</f>
        <v>|||</v>
      </c>
    </row>
    <row r="165" spans="2:10" x14ac:dyDescent="0.25">
      <c r="B165" t="str">
        <f t="shared" si="5"/>
        <v>|</v>
      </c>
      <c r="C165" s="2"/>
      <c r="D165" s="2"/>
      <c r="E165" s="9"/>
      <c r="F165" s="2"/>
      <c r="G165" s="7"/>
      <c r="H165" s="2"/>
      <c r="J165" s="2" t="str">
        <f>tblprix[[#This Row],[Modele Machine]]&amp;"|"&amp;tblprix[[#This Row],[Référence]]&amp;"|"&amp;tblprix[[#This Row],[Couleur]]&amp;"|"&amp;tblprix[[#This Row],[Type (Original/Compatible)]]</f>
        <v>|||</v>
      </c>
    </row>
    <row r="166" spans="2:10" x14ac:dyDescent="0.25">
      <c r="B166" t="str">
        <f t="shared" si="5"/>
        <v>|</v>
      </c>
      <c r="C166" s="2"/>
      <c r="D166" s="2"/>
      <c r="E166" s="9"/>
      <c r="F166" s="2"/>
      <c r="G166" s="7"/>
      <c r="H166" s="2"/>
      <c r="J166" s="2" t="str">
        <f>tblprix[[#This Row],[Modele Machine]]&amp;"|"&amp;tblprix[[#This Row],[Référence]]&amp;"|"&amp;tblprix[[#This Row],[Couleur]]&amp;"|"&amp;tblprix[[#This Row],[Type (Original/Compatible)]]</f>
        <v>|||</v>
      </c>
    </row>
    <row r="167" spans="2:10" x14ac:dyDescent="0.25">
      <c r="B167" t="str">
        <f t="shared" si="5"/>
        <v>|</v>
      </c>
      <c r="C167" s="2"/>
      <c r="D167" s="2"/>
      <c r="E167" s="9"/>
      <c r="F167" s="2"/>
      <c r="G167" s="7"/>
      <c r="H167" s="2"/>
      <c r="J167" s="2" t="str">
        <f>tblprix[[#This Row],[Modele Machine]]&amp;"|"&amp;tblprix[[#This Row],[Référence]]&amp;"|"&amp;tblprix[[#This Row],[Couleur]]&amp;"|"&amp;tblprix[[#This Row],[Type (Original/Compatible)]]</f>
        <v>|||</v>
      </c>
    </row>
    <row r="168" spans="2:10" x14ac:dyDescent="0.25">
      <c r="B168" t="str">
        <f t="shared" si="5"/>
        <v>|</v>
      </c>
      <c r="C168" s="2"/>
      <c r="D168" s="2"/>
      <c r="E168" s="9"/>
      <c r="F168" s="2"/>
      <c r="G168" s="7"/>
      <c r="H168" s="2"/>
      <c r="J168" s="2" t="str">
        <f>tblprix[[#This Row],[Modele Machine]]&amp;"|"&amp;tblprix[[#This Row],[Référence]]&amp;"|"&amp;tblprix[[#This Row],[Couleur]]&amp;"|"&amp;tblprix[[#This Row],[Type (Original/Compatible)]]</f>
        <v>|||</v>
      </c>
    </row>
    <row r="169" spans="2:10" x14ac:dyDescent="0.25">
      <c r="C169" s="2"/>
      <c r="D169" s="2"/>
      <c r="E169" s="9"/>
      <c r="F169" s="2"/>
      <c r="G169" s="9"/>
      <c r="H169" s="2"/>
    </row>
    <row r="170" spans="2:10" x14ac:dyDescent="0.25">
      <c r="C170" s="2"/>
      <c r="D170" s="2"/>
      <c r="E170" s="9"/>
      <c r="F170" s="2"/>
      <c r="G170" s="9"/>
      <c r="H170" s="2"/>
    </row>
    <row r="171" spans="2:10" x14ac:dyDescent="0.25">
      <c r="C171" s="2"/>
      <c r="D171" s="2"/>
      <c r="E171" s="9"/>
      <c r="F171" s="2"/>
      <c r="G171" s="9"/>
      <c r="H171" s="2"/>
    </row>
    <row r="172" spans="2:10" x14ac:dyDescent="0.25">
      <c r="C172" s="2"/>
      <c r="D172" s="2"/>
      <c r="E172" s="9"/>
      <c r="F172" s="2"/>
      <c r="G172" s="9"/>
      <c r="H172" s="2"/>
    </row>
    <row r="173" spans="2:10" x14ac:dyDescent="0.25">
      <c r="C173" s="2"/>
      <c r="D173" s="2"/>
      <c r="E173" s="9"/>
      <c r="F173" s="2"/>
      <c r="G173" s="9"/>
      <c r="H173" s="2"/>
    </row>
    <row r="174" spans="2:10" x14ac:dyDescent="0.25">
      <c r="C174" s="2"/>
      <c r="D174" s="2"/>
      <c r="E174" s="9"/>
      <c r="F174" s="2"/>
      <c r="G174" s="9"/>
      <c r="H174" s="2"/>
    </row>
    <row r="175" spans="2:10" x14ac:dyDescent="0.25">
      <c r="C175" s="2"/>
      <c r="D175" s="2"/>
      <c r="E175" s="9"/>
      <c r="F175" s="2"/>
      <c r="G175" s="9"/>
      <c r="H175" s="2"/>
    </row>
    <row r="176" spans="2:10" x14ac:dyDescent="0.25">
      <c r="C176" s="2"/>
      <c r="D176" s="2"/>
      <c r="E176" s="9"/>
      <c r="F176" s="2"/>
      <c r="G176" s="9"/>
      <c r="H176" s="2"/>
    </row>
    <row r="177" spans="3:8" x14ac:dyDescent="0.25">
      <c r="C177" s="2"/>
      <c r="D177" s="2"/>
      <c r="E177" s="9"/>
      <c r="F177" s="2"/>
      <c r="G177" s="9"/>
      <c r="H177" s="2"/>
    </row>
    <row r="178" spans="3:8" x14ac:dyDescent="0.25">
      <c r="C178" s="2"/>
      <c r="D178" s="2"/>
      <c r="E178" s="9"/>
      <c r="F178" s="2"/>
      <c r="G178" s="9"/>
      <c r="H178" s="2"/>
    </row>
    <row r="179" spans="3:8" x14ac:dyDescent="0.25">
      <c r="C179" s="2"/>
      <c r="D179" s="2"/>
      <c r="E179" s="9"/>
      <c r="F179" s="2"/>
      <c r="G179" s="9"/>
      <c r="H179" s="2"/>
    </row>
    <row r="180" spans="3:8" x14ac:dyDescent="0.25">
      <c r="C180" s="2"/>
      <c r="D180" s="2"/>
      <c r="E180" s="9"/>
      <c r="F180" s="2"/>
      <c r="G180" s="9"/>
      <c r="H180" s="2"/>
    </row>
    <row r="181" spans="3:8" x14ac:dyDescent="0.25">
      <c r="C181" s="2"/>
      <c r="D181" s="2"/>
      <c r="E181" s="9"/>
      <c r="F181" s="2"/>
      <c r="G181" s="9"/>
      <c r="H181" s="2"/>
    </row>
    <row r="182" spans="3:8" x14ac:dyDescent="0.25">
      <c r="C182" s="2"/>
      <c r="D182" s="2"/>
      <c r="E182" s="9"/>
      <c r="F182" s="2"/>
      <c r="G182" s="9"/>
      <c r="H182" s="2"/>
    </row>
    <row r="183" spans="3:8" x14ac:dyDescent="0.25">
      <c r="C183" s="2"/>
      <c r="D183" s="2"/>
      <c r="E183" s="9"/>
      <c r="F183" s="2"/>
      <c r="G183" s="9"/>
      <c r="H183" s="2"/>
    </row>
    <row r="184" spans="3:8" x14ac:dyDescent="0.25">
      <c r="C184" s="2"/>
      <c r="D184" s="2"/>
      <c r="E184" s="9"/>
      <c r="F184" s="2"/>
      <c r="G184" s="9"/>
      <c r="H184" s="2"/>
    </row>
    <row r="185" spans="3:8" x14ac:dyDescent="0.25">
      <c r="C185" s="2"/>
      <c r="D185" s="2"/>
      <c r="E185" s="9"/>
      <c r="F185" s="2"/>
      <c r="G185" s="9"/>
      <c r="H185" s="2"/>
    </row>
    <row r="186" spans="3:8" x14ac:dyDescent="0.25">
      <c r="C186" s="2"/>
      <c r="D186" s="2"/>
      <c r="E186" s="9"/>
      <c r="F186" s="2"/>
      <c r="G186" s="9"/>
      <c r="H186" s="2"/>
    </row>
    <row r="187" spans="3:8" x14ac:dyDescent="0.25">
      <c r="C187" s="2"/>
      <c r="D187" s="2"/>
      <c r="E187" s="9"/>
      <c r="F187" s="2"/>
      <c r="G187" s="9"/>
      <c r="H187" s="2"/>
    </row>
    <row r="188" spans="3:8" x14ac:dyDescent="0.25">
      <c r="C188" s="2"/>
      <c r="D188" s="2"/>
      <c r="E188" s="9"/>
      <c r="F188" s="2"/>
      <c r="G188" s="9"/>
      <c r="H188" s="2"/>
    </row>
    <row r="189" spans="3:8" x14ac:dyDescent="0.25">
      <c r="C189" s="2"/>
      <c r="D189" s="2"/>
      <c r="E189" s="9"/>
      <c r="F189" s="2"/>
      <c r="G189" s="9"/>
      <c r="H189" s="2"/>
    </row>
    <row r="190" spans="3:8" x14ac:dyDescent="0.25">
      <c r="C190" s="2"/>
      <c r="D190" s="2"/>
      <c r="E190" s="9"/>
      <c r="F190" s="2"/>
      <c r="G190" s="9"/>
      <c r="H190" s="2"/>
    </row>
    <row r="191" spans="3:8" x14ac:dyDescent="0.25">
      <c r="C191" s="2"/>
      <c r="D191" s="2"/>
      <c r="E191" s="9"/>
      <c r="F191" s="2"/>
      <c r="G191" s="9"/>
      <c r="H191" s="2"/>
    </row>
    <row r="192" spans="3:8" x14ac:dyDescent="0.25">
      <c r="C192" s="2"/>
      <c r="D192" s="2"/>
      <c r="E192" s="9"/>
      <c r="F192" s="2"/>
      <c r="G192" s="9"/>
      <c r="H192" s="2"/>
    </row>
    <row r="193" spans="3:8" x14ac:dyDescent="0.25">
      <c r="C193" s="2"/>
      <c r="D193" s="2"/>
      <c r="E193" s="9"/>
      <c r="F193" s="2"/>
      <c r="G193" s="9"/>
      <c r="H193" s="2"/>
    </row>
    <row r="194" spans="3:8" x14ac:dyDescent="0.25">
      <c r="C194" s="2"/>
      <c r="D194" s="2"/>
      <c r="E194" s="9"/>
      <c r="F194" s="2"/>
      <c r="G194" s="9"/>
      <c r="H194" s="2"/>
    </row>
    <row r="195" spans="3:8" x14ac:dyDescent="0.25">
      <c r="C195" s="2"/>
      <c r="D195" s="2"/>
      <c r="E195" s="9"/>
      <c r="F195" s="2"/>
      <c r="G195" s="9"/>
      <c r="H195" s="2"/>
    </row>
    <row r="196" spans="3:8" x14ac:dyDescent="0.25">
      <c r="C196" s="2"/>
      <c r="D196" s="2"/>
      <c r="E196" s="9"/>
      <c r="F196" s="2"/>
      <c r="G196" s="9"/>
      <c r="H196" s="2"/>
    </row>
    <row r="197" spans="3:8" x14ac:dyDescent="0.25">
      <c r="C197" s="2"/>
      <c r="D197" s="2"/>
      <c r="E197" s="9"/>
      <c r="F197" s="2"/>
      <c r="G197" s="9"/>
      <c r="H197" s="2"/>
    </row>
    <row r="198" spans="3:8" x14ac:dyDescent="0.25">
      <c r="C198" s="2"/>
      <c r="D198" s="2"/>
      <c r="E198" s="9"/>
      <c r="F198" s="2"/>
      <c r="G198" s="9"/>
      <c r="H198" s="2"/>
    </row>
    <row r="199" spans="3:8" x14ac:dyDescent="0.25">
      <c r="C199" s="2"/>
      <c r="D199" s="2"/>
      <c r="E199" s="9"/>
      <c r="F199" s="2"/>
      <c r="G199" s="9"/>
      <c r="H199" s="2"/>
    </row>
    <row r="200" spans="3:8" x14ac:dyDescent="0.25">
      <c r="C200" s="2"/>
      <c r="D200" s="2"/>
      <c r="E200" s="9"/>
      <c r="F200" s="2"/>
      <c r="G200" s="9"/>
      <c r="H200" s="2"/>
    </row>
    <row r="201" spans="3:8" x14ac:dyDescent="0.25">
      <c r="C201" s="2"/>
      <c r="D201" s="2"/>
      <c r="E201" s="9"/>
      <c r="F201" s="2"/>
      <c r="G201" s="9"/>
      <c r="H201" s="2"/>
    </row>
    <row r="202" spans="3:8" x14ac:dyDescent="0.25">
      <c r="C202" s="2"/>
      <c r="D202" s="2"/>
      <c r="E202" s="9"/>
      <c r="F202" s="2"/>
      <c r="G202" s="9"/>
      <c r="H202" s="2"/>
    </row>
    <row r="203" spans="3:8" x14ac:dyDescent="0.25">
      <c r="C203" s="2"/>
      <c r="D203" s="2"/>
      <c r="E203" s="9"/>
      <c r="F203" s="2"/>
      <c r="G203" s="9"/>
      <c r="H203" s="2"/>
    </row>
    <row r="204" spans="3:8" x14ac:dyDescent="0.25">
      <c r="C204" s="2"/>
      <c r="D204" s="2"/>
      <c r="E204" s="9"/>
      <c r="F204" s="2"/>
      <c r="G204" s="9"/>
      <c r="H204" s="2"/>
    </row>
    <row r="205" spans="3:8" x14ac:dyDescent="0.25">
      <c r="C205" s="2"/>
      <c r="D205" s="2"/>
      <c r="E205" s="9"/>
      <c r="F205" s="2"/>
      <c r="G205" s="9"/>
      <c r="H205" s="2"/>
    </row>
    <row r="206" spans="3:8" x14ac:dyDescent="0.25">
      <c r="C206" s="2"/>
      <c r="D206" s="2"/>
      <c r="E206" s="9"/>
      <c r="F206" s="2"/>
      <c r="G206" s="9"/>
      <c r="H206" s="2"/>
    </row>
    <row r="207" spans="3:8" x14ac:dyDescent="0.25">
      <c r="C207" s="2"/>
      <c r="D207" s="2"/>
      <c r="E207" s="9"/>
      <c r="F207" s="2"/>
      <c r="G207" s="9"/>
      <c r="H207" s="2"/>
    </row>
    <row r="208" spans="3:8" x14ac:dyDescent="0.25">
      <c r="C208" s="2"/>
      <c r="D208" s="2"/>
      <c r="E208" s="9"/>
      <c r="F208" s="2"/>
      <c r="G208" s="9"/>
      <c r="H208" s="2"/>
    </row>
    <row r="209" spans="3:8" x14ac:dyDescent="0.25">
      <c r="C209" s="2"/>
      <c r="D209" s="2"/>
      <c r="E209" s="9"/>
      <c r="F209" s="2"/>
      <c r="G209" s="9"/>
      <c r="H209" s="2"/>
    </row>
    <row r="210" spans="3:8" x14ac:dyDescent="0.25">
      <c r="C210" s="2"/>
      <c r="D210" s="2"/>
      <c r="E210" s="9"/>
      <c r="F210" s="2"/>
      <c r="G210" s="9"/>
      <c r="H210" s="2"/>
    </row>
    <row r="211" spans="3:8" x14ac:dyDescent="0.25">
      <c r="C211" s="2"/>
      <c r="D211" s="2"/>
      <c r="E211" s="9"/>
      <c r="F211" s="2"/>
      <c r="G211" s="9"/>
      <c r="H211" s="2"/>
    </row>
    <row r="212" spans="3:8" x14ac:dyDescent="0.25">
      <c r="C212" s="2"/>
      <c r="D212" s="2"/>
      <c r="E212" s="9"/>
      <c r="F212" s="2"/>
      <c r="G212" s="9"/>
      <c r="H212" s="2"/>
    </row>
    <row r="213" spans="3:8" x14ac:dyDescent="0.25">
      <c r="C213" s="2"/>
      <c r="D213" s="2"/>
      <c r="E213" s="9"/>
      <c r="F213" s="2"/>
      <c r="G213" s="9"/>
      <c r="H213" s="2"/>
    </row>
    <row r="214" spans="3:8" x14ac:dyDescent="0.25">
      <c r="C214" s="2"/>
      <c r="D214" s="2"/>
      <c r="E214" s="9"/>
      <c r="F214" s="2"/>
      <c r="G214" s="9"/>
      <c r="H214" s="2"/>
    </row>
  </sheetData>
  <phoneticPr fontId="3" type="noConversion"/>
  <dataValidations count="1">
    <dataValidation type="list" allowBlank="1" sqref="D2:D213" xr:uid="{00000000-0002-0000-0000-000000000000}">
      <formula1>"Original,Compatible"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7AF90-8AD2-475D-8F3B-4887522E0749}">
  <dimension ref="B1:P211"/>
  <sheetViews>
    <sheetView zoomScale="91" zoomScaleNormal="91" workbookViewId="0">
      <pane ySplit="1" topLeftCell="A79" activePane="bottomLeft" state="frozen"/>
      <selection pane="bottomLeft" activeCell="M80" sqref="M80"/>
    </sheetView>
  </sheetViews>
  <sheetFormatPr baseColWidth="10" defaultColWidth="9.140625" defaultRowHeight="15" x14ac:dyDescent="0.25"/>
  <cols>
    <col min="2" max="2" width="20.28515625" hidden="1" customWidth="1"/>
    <col min="3" max="3" width="14.7109375" bestFit="1" customWidth="1"/>
    <col min="4" max="4" width="24.5703125" bestFit="1" customWidth="1"/>
    <col min="5" max="5" width="12.5703125" style="6" bestFit="1" customWidth="1"/>
    <col min="6" max="6" width="16" bestFit="1" customWidth="1"/>
    <col min="7" max="7" width="14.140625" style="6" bestFit="1" customWidth="1"/>
    <col min="8" max="8" width="29.28515625" bestFit="1" customWidth="1"/>
    <col min="9" max="9" width="13.7109375" bestFit="1" customWidth="1"/>
    <col min="10" max="10" width="48.85546875" bestFit="1" customWidth="1"/>
    <col min="11" max="11" width="11.85546875" customWidth="1"/>
    <col min="12" max="12" width="16.7109375" bestFit="1" customWidth="1"/>
    <col min="13" max="13" width="9.140625" customWidth="1"/>
    <col min="14" max="14" width="14.140625" bestFit="1" customWidth="1"/>
    <col min="15" max="15" width="13.42578125" bestFit="1" customWidth="1"/>
    <col min="16" max="16" width="18.140625" bestFit="1" customWidth="1"/>
  </cols>
  <sheetData>
    <row r="1" spans="2:16" ht="45" x14ac:dyDescent="0.25">
      <c r="B1" s="1" t="s">
        <v>0</v>
      </c>
      <c r="C1" s="1" t="s">
        <v>337</v>
      </c>
      <c r="D1" s="1" t="s">
        <v>1</v>
      </c>
      <c r="E1" s="1" t="s">
        <v>319</v>
      </c>
      <c r="F1" s="1" t="s">
        <v>2</v>
      </c>
      <c r="G1" s="1" t="s">
        <v>3</v>
      </c>
      <c r="H1" s="1" t="s">
        <v>478</v>
      </c>
      <c r="I1" s="5" t="s">
        <v>329</v>
      </c>
      <c r="J1" s="13" t="s">
        <v>468</v>
      </c>
      <c r="K1" s="19" t="s">
        <v>498</v>
      </c>
      <c r="L1" s="19" t="s">
        <v>499</v>
      </c>
      <c r="M1" s="18" t="s">
        <v>482</v>
      </c>
      <c r="N1" s="18" t="s">
        <v>483</v>
      </c>
      <c r="O1" s="18" t="s">
        <v>485</v>
      </c>
      <c r="P1" s="13" t="s">
        <v>484</v>
      </c>
    </row>
    <row r="2" spans="2:16" x14ac:dyDescent="0.25">
      <c r="B2" t="str">
        <f t="shared" ref="B2:B33" si="0">C2&amp;"|"&amp;D2</f>
        <v>TN324K|Compatible</v>
      </c>
      <c r="C2" s="2" t="s">
        <v>325</v>
      </c>
      <c r="D2" s="2" t="s">
        <v>5</v>
      </c>
      <c r="E2" s="9" t="s">
        <v>320</v>
      </c>
      <c r="F2" s="2" t="s">
        <v>321</v>
      </c>
      <c r="G2" s="7">
        <v>26</v>
      </c>
      <c r="H2" s="3" t="s">
        <v>264</v>
      </c>
      <c r="I2" s="2" t="s">
        <v>330</v>
      </c>
      <c r="J2" s="2" t="str">
        <f>tblStock[[#This Row],[Modele Machine]]&amp;"|"&amp;tblStock[[#This Row],[Référence]]&amp;"|"&amp;tblStock[[#This Row],[Couleur]]&amp;"|"&amp;tblStock[[#This Row],[Type (Original/Compatible)]]</f>
        <v>C258|TN324K|K|Compatible</v>
      </c>
      <c r="K2" s="2">
        <v>3</v>
      </c>
      <c r="L2" s="2">
        <f>tblStock[[#This Row],[Stock_total_31_12_2025
Vendargues]]*tblStock[[#This Row],[Prix achat HT]]</f>
        <v>78</v>
      </c>
      <c r="M2" s="2"/>
      <c r="N2" s="2">
        <f>SUMIFS(tblSorties[Quantité],tblSorties[Cleprix],tblStock[[#This Row],[ClePrix]])</f>
        <v>0</v>
      </c>
      <c r="O2" s="2">
        <f>tblStock[[#This Row],[Stock_total_31_12_2025
Vendargues]]+tblStock[[#This Row],[Entrees_2026]]-tblStock[[#This Row],[Sorties_2026]]</f>
        <v>3</v>
      </c>
      <c r="P2" s="17">
        <f>tblStock[[#This Row],[Stock_Actuel]]*tblStock[[#This Row],[Prix achat HT]]</f>
        <v>78</v>
      </c>
    </row>
    <row r="3" spans="2:16" x14ac:dyDescent="0.25">
      <c r="B3" t="str">
        <f t="shared" si="0"/>
        <v>TN324C|Compatible</v>
      </c>
      <c r="C3" s="2" t="s">
        <v>326</v>
      </c>
      <c r="D3" s="2" t="s">
        <v>5</v>
      </c>
      <c r="E3" s="9" t="s">
        <v>322</v>
      </c>
      <c r="F3" s="2" t="s">
        <v>321</v>
      </c>
      <c r="G3" s="7">
        <v>50</v>
      </c>
      <c r="H3" s="3" t="s">
        <v>264</v>
      </c>
      <c r="I3" s="2" t="s">
        <v>330</v>
      </c>
      <c r="J3" s="2" t="str">
        <f>tblStock[[#This Row],[Modele Machine]]&amp;"|"&amp;tblStock[[#This Row],[Référence]]&amp;"|"&amp;tblStock[[#This Row],[Couleur]]&amp;"|"&amp;tblStock[[#This Row],[Type (Original/Compatible)]]</f>
        <v>C258|TN324C|C|Compatible</v>
      </c>
      <c r="K3" s="2">
        <v>3</v>
      </c>
      <c r="L3" s="2">
        <f>tblStock[[#This Row],[Stock_total_31_12_2025
Vendargues]]*tblStock[[#This Row],[Prix achat HT]]</f>
        <v>150</v>
      </c>
      <c r="M3" s="2"/>
      <c r="N3" s="2">
        <f>SUMIFS(tblSorties[Quantité],tblSorties[Cleprix],tblStock[[#This Row],[ClePrix]])</f>
        <v>0</v>
      </c>
      <c r="O3" s="2">
        <f>tblStock[[#This Row],[Stock_total_31_12_2025
Vendargues]]+tblStock[[#This Row],[Entrees_2026]]-tblStock[[#This Row],[Sorties_2026]]</f>
        <v>3</v>
      </c>
      <c r="P3" s="17">
        <f>tblStock[[#This Row],[Stock_Actuel]]*tblStock[[#This Row],[Prix achat HT]]</f>
        <v>150</v>
      </c>
    </row>
    <row r="4" spans="2:16" x14ac:dyDescent="0.25">
      <c r="B4" t="str">
        <f t="shared" si="0"/>
        <v>TN324M|Compatible</v>
      </c>
      <c r="C4" s="2" t="s">
        <v>327</v>
      </c>
      <c r="D4" s="2" t="s">
        <v>5</v>
      </c>
      <c r="E4" s="9" t="s">
        <v>323</v>
      </c>
      <c r="F4" s="2" t="s">
        <v>321</v>
      </c>
      <c r="G4" s="7">
        <v>50</v>
      </c>
      <c r="H4" s="3" t="s">
        <v>264</v>
      </c>
      <c r="I4" s="2" t="s">
        <v>330</v>
      </c>
      <c r="J4" s="2" t="str">
        <f>tblStock[[#This Row],[Modele Machine]]&amp;"|"&amp;tblStock[[#This Row],[Référence]]&amp;"|"&amp;tblStock[[#This Row],[Couleur]]&amp;"|"&amp;tblStock[[#This Row],[Type (Original/Compatible)]]</f>
        <v>C258|TN324M|M|Compatible</v>
      </c>
      <c r="K4" s="2">
        <v>3</v>
      </c>
      <c r="L4" s="2">
        <f>tblStock[[#This Row],[Stock_total_31_12_2025
Vendargues]]*tblStock[[#This Row],[Prix achat HT]]</f>
        <v>150</v>
      </c>
      <c r="M4" s="2"/>
      <c r="N4" s="2">
        <f>SUMIFS(tblSorties[Quantité],tblSorties[Cleprix],tblStock[[#This Row],[ClePrix]])</f>
        <v>0</v>
      </c>
      <c r="O4" s="2">
        <f>tblStock[[#This Row],[Stock_total_31_12_2025
Vendargues]]+tblStock[[#This Row],[Entrees_2026]]-tblStock[[#This Row],[Sorties_2026]]</f>
        <v>3</v>
      </c>
      <c r="P4" s="17">
        <f>tblStock[[#This Row],[Stock_Actuel]]*tblStock[[#This Row],[Prix achat HT]]</f>
        <v>150</v>
      </c>
    </row>
    <row r="5" spans="2:16" x14ac:dyDescent="0.25">
      <c r="B5" t="str">
        <f t="shared" si="0"/>
        <v>TN324Y|Compatible</v>
      </c>
      <c r="C5" s="2" t="s">
        <v>328</v>
      </c>
      <c r="D5" s="2" t="s">
        <v>5</v>
      </c>
      <c r="E5" s="9" t="s">
        <v>324</v>
      </c>
      <c r="F5" s="2" t="s">
        <v>321</v>
      </c>
      <c r="G5" s="7">
        <v>50</v>
      </c>
      <c r="H5" s="3" t="s">
        <v>264</v>
      </c>
      <c r="I5" s="2" t="s">
        <v>330</v>
      </c>
      <c r="J5" s="2" t="str">
        <f>tblStock[[#This Row],[Modele Machine]]&amp;"|"&amp;tblStock[[#This Row],[Référence]]&amp;"|"&amp;tblStock[[#This Row],[Couleur]]&amp;"|"&amp;tblStock[[#This Row],[Type (Original/Compatible)]]</f>
        <v>C258|TN324Y|Y|Compatible</v>
      </c>
      <c r="K5" s="2">
        <v>3</v>
      </c>
      <c r="L5" s="2">
        <f>tblStock[[#This Row],[Stock_total_31_12_2025
Vendargues]]*tblStock[[#This Row],[Prix achat HT]]</f>
        <v>150</v>
      </c>
      <c r="M5" s="2"/>
      <c r="N5" s="2">
        <f>SUMIFS(tblSorties[Quantité],tblSorties[Cleprix],tblStock[[#This Row],[ClePrix]])</f>
        <v>0</v>
      </c>
      <c r="O5" s="2">
        <f>tblStock[[#This Row],[Stock_total_31_12_2025
Vendargues]]+tblStock[[#This Row],[Entrees_2026]]-tblStock[[#This Row],[Sorties_2026]]</f>
        <v>3</v>
      </c>
      <c r="P5" s="17">
        <f>tblStock[[#This Row],[Stock_Actuel]]*tblStock[[#This Row],[Prix achat HT]]</f>
        <v>150</v>
      </c>
    </row>
    <row r="6" spans="2:16" x14ac:dyDescent="0.25">
      <c r="B6" t="str">
        <f t="shared" si="0"/>
        <v>B1417|Original</v>
      </c>
      <c r="C6" s="2" t="s">
        <v>331</v>
      </c>
      <c r="D6" s="2" t="s">
        <v>4</v>
      </c>
      <c r="E6" s="9" t="s">
        <v>320</v>
      </c>
      <c r="F6" s="2" t="s">
        <v>332</v>
      </c>
      <c r="G6" s="7">
        <v>67.11</v>
      </c>
      <c r="H6" s="2" t="s">
        <v>12</v>
      </c>
      <c r="I6" s="2" t="s">
        <v>333</v>
      </c>
      <c r="J6" s="2" t="str">
        <f>tblStock[[#This Row],[Modele Machine]]&amp;"|"&amp;tblStock[[#This Row],[Référence]]&amp;"|"&amp;tblStock[[#This Row],[Couleur]]&amp;"|"&amp;tblStock[[#This Row],[Type (Original/Compatible)]]</f>
        <v>MF3555|B1417|K|Original</v>
      </c>
      <c r="K6" s="2">
        <v>6</v>
      </c>
      <c r="L6" s="2">
        <f>tblStock[[#This Row],[Stock_total_31_12_2025
Vendargues]]*tblStock[[#This Row],[Prix achat HT]]</f>
        <v>402.65999999999997</v>
      </c>
      <c r="M6" s="2">
        <v>1</v>
      </c>
      <c r="N6" s="2">
        <f>SUMIFS(tblSorties[Quantité],tblSorties[Cleprix],tblStock[[#This Row],[ClePrix]])</f>
        <v>1</v>
      </c>
      <c r="O6" s="2">
        <f>tblStock[[#This Row],[Stock_total_31_12_2025
Vendargues]]+tblStock[[#This Row],[Entrees_2026]]-tblStock[[#This Row],[Sorties_2026]]</f>
        <v>6</v>
      </c>
      <c r="P6" s="17">
        <f>tblStock[[#This Row],[Stock_Actuel]]*tblStock[[#This Row],[Prix achat HT]]</f>
        <v>402.65999999999997</v>
      </c>
    </row>
    <row r="7" spans="2:16" x14ac:dyDescent="0.25">
      <c r="B7" t="str">
        <f t="shared" si="0"/>
        <v>B1417|Compatible</v>
      </c>
      <c r="C7" s="2" t="s">
        <v>331</v>
      </c>
      <c r="D7" s="2" t="s">
        <v>5</v>
      </c>
      <c r="E7" s="9" t="s">
        <v>320</v>
      </c>
      <c r="F7" s="2" t="s">
        <v>321</v>
      </c>
      <c r="G7" s="7">
        <v>33.4</v>
      </c>
      <c r="H7" s="2" t="s">
        <v>12</v>
      </c>
      <c r="I7" s="2" t="s">
        <v>333</v>
      </c>
      <c r="J7" s="2" t="str">
        <f>tblStock[[#This Row],[Modele Machine]]&amp;"|"&amp;tblStock[[#This Row],[Référence]]&amp;"|"&amp;tblStock[[#This Row],[Couleur]]&amp;"|"&amp;tblStock[[#This Row],[Type (Original/Compatible)]]</f>
        <v>MF3555|B1417|K|Compatible</v>
      </c>
      <c r="K7" s="2">
        <v>2</v>
      </c>
      <c r="L7" s="2">
        <f>tblStock[[#This Row],[Stock_total_31_12_2025
Vendargues]]*tblStock[[#This Row],[Prix achat HT]]</f>
        <v>66.8</v>
      </c>
      <c r="M7" s="2"/>
      <c r="N7" s="2">
        <f>SUMIFS(tblSorties[Quantité],tblSorties[Cleprix],tblStock[[#This Row],[ClePrix]])</f>
        <v>1</v>
      </c>
      <c r="O7" s="2">
        <f>tblStock[[#This Row],[Stock_total_31_12_2025
Vendargues]]+tblStock[[#This Row],[Entrees_2026]]-tblStock[[#This Row],[Sorties_2026]]</f>
        <v>1</v>
      </c>
      <c r="P7" s="17">
        <f>tblStock[[#This Row],[Stock_Actuel]]*tblStock[[#This Row],[Prix achat HT]]</f>
        <v>33.4</v>
      </c>
    </row>
    <row r="8" spans="2:16" x14ac:dyDescent="0.25">
      <c r="B8" t="str">
        <f t="shared" si="0"/>
        <v>B1418|Original</v>
      </c>
      <c r="C8" s="2" t="s">
        <v>334</v>
      </c>
      <c r="D8" s="2" t="s">
        <v>4</v>
      </c>
      <c r="E8" s="9" t="s">
        <v>322</v>
      </c>
      <c r="F8" s="2" t="s">
        <v>332</v>
      </c>
      <c r="G8" s="7">
        <v>121.89</v>
      </c>
      <c r="H8" s="2" t="s">
        <v>12</v>
      </c>
      <c r="I8" s="2" t="s">
        <v>333</v>
      </c>
      <c r="J8" s="2" t="str">
        <f>tblStock[[#This Row],[Modele Machine]]&amp;"|"&amp;tblStock[[#This Row],[Référence]]&amp;"|"&amp;tblStock[[#This Row],[Couleur]]&amp;"|"&amp;tblStock[[#This Row],[Type (Original/Compatible)]]</f>
        <v>MF3555|B1418|C|Original</v>
      </c>
      <c r="K8" s="2">
        <v>8</v>
      </c>
      <c r="L8" s="2">
        <f>tblStock[[#This Row],[Stock_total_31_12_2025
Vendargues]]*tblStock[[#This Row],[Prix achat HT]]</f>
        <v>975.12</v>
      </c>
      <c r="M8" s="2">
        <v>1</v>
      </c>
      <c r="N8" s="2">
        <f>SUMIFS(tblSorties[Quantité],tblSorties[Cleprix],tblStock[[#This Row],[ClePrix]])</f>
        <v>4</v>
      </c>
      <c r="O8" s="2">
        <f>tblStock[[#This Row],[Stock_total_31_12_2025
Vendargues]]+tblStock[[#This Row],[Entrees_2026]]-tblStock[[#This Row],[Sorties_2026]]</f>
        <v>5</v>
      </c>
      <c r="P8" s="17">
        <f>tblStock[[#This Row],[Stock_Actuel]]*tblStock[[#This Row],[Prix achat HT]]</f>
        <v>609.45000000000005</v>
      </c>
    </row>
    <row r="9" spans="2:16" x14ac:dyDescent="0.25">
      <c r="B9" t="str">
        <f t="shared" si="0"/>
        <v>B1418|Compatible</v>
      </c>
      <c r="C9" s="2" t="s">
        <v>334</v>
      </c>
      <c r="D9" s="2" t="s">
        <v>5</v>
      </c>
      <c r="E9" s="9" t="s">
        <v>322</v>
      </c>
      <c r="F9" s="2" t="s">
        <v>321</v>
      </c>
      <c r="G9" s="7">
        <v>40</v>
      </c>
      <c r="H9" s="2" t="s">
        <v>12</v>
      </c>
      <c r="I9" s="2" t="s">
        <v>333</v>
      </c>
      <c r="J9" s="2" t="str">
        <f>tblStock[[#This Row],[Modele Machine]]&amp;"|"&amp;tblStock[[#This Row],[Référence]]&amp;"|"&amp;tblStock[[#This Row],[Couleur]]&amp;"|"&amp;tblStock[[#This Row],[Type (Original/Compatible)]]</f>
        <v>MF3555|B1418|C|Compatible</v>
      </c>
      <c r="K9" s="2">
        <v>1</v>
      </c>
      <c r="L9" s="2">
        <f>tblStock[[#This Row],[Stock_total_31_12_2025
Vendargues]]*tblStock[[#This Row],[Prix achat HT]]</f>
        <v>40</v>
      </c>
      <c r="M9" s="2"/>
      <c r="N9" s="2">
        <f>SUMIFS(tblSorties[Quantité],tblSorties[Cleprix],tblStock[[#This Row],[ClePrix]])</f>
        <v>1</v>
      </c>
      <c r="O9" s="2">
        <f>tblStock[[#This Row],[Stock_total_31_12_2025
Vendargues]]+tblStock[[#This Row],[Entrees_2026]]-tblStock[[#This Row],[Sorties_2026]]</f>
        <v>0</v>
      </c>
      <c r="P9" s="17">
        <f>tblStock[[#This Row],[Stock_Actuel]]*tblStock[[#This Row],[Prix achat HT]]</f>
        <v>0</v>
      </c>
    </row>
    <row r="10" spans="2:16" x14ac:dyDescent="0.25">
      <c r="B10" t="str">
        <f t="shared" si="0"/>
        <v>B1419|Original</v>
      </c>
      <c r="C10" s="2" t="s">
        <v>335</v>
      </c>
      <c r="D10" s="2" t="s">
        <v>4</v>
      </c>
      <c r="E10" s="9" t="s">
        <v>323</v>
      </c>
      <c r="F10" s="2" t="s">
        <v>332</v>
      </c>
      <c r="G10" s="7">
        <v>128.33000000000001</v>
      </c>
      <c r="H10" s="2" t="s">
        <v>12</v>
      </c>
      <c r="I10" s="2" t="s">
        <v>333</v>
      </c>
      <c r="J10" s="2" t="str">
        <f>tblStock[[#This Row],[Modele Machine]]&amp;"|"&amp;tblStock[[#This Row],[Référence]]&amp;"|"&amp;tblStock[[#This Row],[Couleur]]&amp;"|"&amp;tblStock[[#This Row],[Type (Original/Compatible)]]</f>
        <v>MF3555|B1419|M|Original</v>
      </c>
      <c r="K10" s="2">
        <v>7</v>
      </c>
      <c r="L10" s="2">
        <f>tblStock[[#This Row],[Stock_total_31_12_2025
Vendargues]]*tblStock[[#This Row],[Prix achat HT]]</f>
        <v>898.31000000000006</v>
      </c>
      <c r="M10" s="2">
        <v>1</v>
      </c>
      <c r="N10" s="2">
        <f>SUMIFS(tblSorties[Quantité],tblSorties[Cleprix],tblStock[[#This Row],[ClePrix]])</f>
        <v>5</v>
      </c>
      <c r="O10" s="2">
        <f>tblStock[[#This Row],[Stock_total_31_12_2025
Vendargues]]+tblStock[[#This Row],[Entrees_2026]]-tblStock[[#This Row],[Sorties_2026]]</f>
        <v>3</v>
      </c>
      <c r="P10" s="17">
        <f>tblStock[[#This Row],[Stock_Actuel]]*tblStock[[#This Row],[Prix achat HT]]</f>
        <v>384.99</v>
      </c>
    </row>
    <row r="11" spans="2:16" x14ac:dyDescent="0.25">
      <c r="B11" t="str">
        <f t="shared" si="0"/>
        <v>B1419|Compatible</v>
      </c>
      <c r="C11" s="2" t="s">
        <v>335</v>
      </c>
      <c r="D11" s="2" t="s">
        <v>5</v>
      </c>
      <c r="E11" s="9" t="s">
        <v>323</v>
      </c>
      <c r="F11" s="2" t="s">
        <v>321</v>
      </c>
      <c r="G11" s="7">
        <v>40</v>
      </c>
      <c r="H11" s="2" t="s">
        <v>12</v>
      </c>
      <c r="I11" s="2" t="s">
        <v>333</v>
      </c>
      <c r="J11" s="2" t="str">
        <f>tblStock[[#This Row],[Modele Machine]]&amp;"|"&amp;tblStock[[#This Row],[Référence]]&amp;"|"&amp;tblStock[[#This Row],[Couleur]]&amp;"|"&amp;tblStock[[#This Row],[Type (Original/Compatible)]]</f>
        <v>MF3555|B1419|M|Compatible</v>
      </c>
      <c r="K11" s="2">
        <v>2</v>
      </c>
      <c r="L11" s="2">
        <f>tblStock[[#This Row],[Stock_total_31_12_2025
Vendargues]]*tblStock[[#This Row],[Prix achat HT]]</f>
        <v>80</v>
      </c>
      <c r="M11" s="2"/>
      <c r="N11" s="2">
        <f>SUMIFS(tblSorties[Quantité],tblSorties[Cleprix],tblStock[[#This Row],[ClePrix]])</f>
        <v>1</v>
      </c>
      <c r="O11" s="2">
        <f>tblStock[[#This Row],[Stock_total_31_12_2025
Vendargues]]+tblStock[[#This Row],[Entrees_2026]]-tblStock[[#This Row],[Sorties_2026]]</f>
        <v>1</v>
      </c>
      <c r="P11" s="17">
        <f>tblStock[[#This Row],[Stock_Actuel]]*tblStock[[#This Row],[Prix achat HT]]</f>
        <v>40</v>
      </c>
    </row>
    <row r="12" spans="2:16" x14ac:dyDescent="0.25">
      <c r="B12" t="str">
        <f t="shared" si="0"/>
        <v>B1420|Original</v>
      </c>
      <c r="C12" s="2" t="s">
        <v>336</v>
      </c>
      <c r="D12" s="2" t="s">
        <v>4</v>
      </c>
      <c r="E12" s="9" t="s">
        <v>324</v>
      </c>
      <c r="F12" s="2" t="s">
        <v>332</v>
      </c>
      <c r="G12" s="7">
        <v>128.33000000000001</v>
      </c>
      <c r="H12" s="2" t="s">
        <v>12</v>
      </c>
      <c r="I12" s="2" t="s">
        <v>333</v>
      </c>
      <c r="J12" s="2" t="str">
        <f>tblStock[[#This Row],[Modele Machine]]&amp;"|"&amp;tblStock[[#This Row],[Référence]]&amp;"|"&amp;tblStock[[#This Row],[Couleur]]&amp;"|"&amp;tblStock[[#This Row],[Type (Original/Compatible)]]</f>
        <v>MF3555|B1420|Y|Original</v>
      </c>
      <c r="K12" s="2">
        <v>4</v>
      </c>
      <c r="L12" s="2">
        <f>tblStock[[#This Row],[Stock_total_31_12_2025
Vendargues]]*tblStock[[#This Row],[Prix achat HT]]</f>
        <v>513.32000000000005</v>
      </c>
      <c r="M12" s="2">
        <v>1</v>
      </c>
      <c r="N12" s="2">
        <f>SUMIFS(tblSorties[Quantité],tblSorties[Cleprix],tblStock[[#This Row],[ClePrix]])</f>
        <v>4</v>
      </c>
      <c r="O12" s="2">
        <f>tblStock[[#This Row],[Stock_total_31_12_2025
Vendargues]]+tblStock[[#This Row],[Entrees_2026]]-tblStock[[#This Row],[Sorties_2026]]</f>
        <v>1</v>
      </c>
      <c r="P12" s="17">
        <f>tblStock[[#This Row],[Stock_Actuel]]*tblStock[[#This Row],[Prix achat HT]]</f>
        <v>128.33000000000001</v>
      </c>
    </row>
    <row r="13" spans="2:16" x14ac:dyDescent="0.25">
      <c r="B13" t="str">
        <f t="shared" si="0"/>
        <v>B1420|Compatible</v>
      </c>
      <c r="C13" s="2" t="s">
        <v>336</v>
      </c>
      <c r="D13" s="2" t="s">
        <v>5</v>
      </c>
      <c r="E13" s="9" t="s">
        <v>324</v>
      </c>
      <c r="F13" s="2" t="s">
        <v>321</v>
      </c>
      <c r="G13" s="7">
        <v>40</v>
      </c>
      <c r="H13" s="2" t="s">
        <v>12</v>
      </c>
      <c r="I13" s="2" t="s">
        <v>333</v>
      </c>
      <c r="J13" s="2" t="str">
        <f>tblStock[[#This Row],[Modele Machine]]&amp;"|"&amp;tblStock[[#This Row],[Référence]]&amp;"|"&amp;tblStock[[#This Row],[Couleur]]&amp;"|"&amp;tblStock[[#This Row],[Type (Original/Compatible)]]</f>
        <v>MF3555|B1420|Y|Compatible</v>
      </c>
      <c r="K13" s="2">
        <v>4</v>
      </c>
      <c r="L13" s="2">
        <f>tblStock[[#This Row],[Stock_total_31_12_2025
Vendargues]]*tblStock[[#This Row],[Prix achat HT]]</f>
        <v>160</v>
      </c>
      <c r="M13" s="2"/>
      <c r="N13" s="2">
        <f>SUMIFS(tblSorties[Quantité],tblSorties[Cleprix],tblStock[[#This Row],[ClePrix]])</f>
        <v>1</v>
      </c>
      <c r="O13" s="2">
        <f>tblStock[[#This Row],[Stock_total_31_12_2025
Vendargues]]+tblStock[[#This Row],[Entrees_2026]]-tblStock[[#This Row],[Sorties_2026]]</f>
        <v>3</v>
      </c>
      <c r="P13" s="17">
        <f>tblStock[[#This Row],[Stock_Actuel]]*tblStock[[#This Row],[Prix achat HT]]</f>
        <v>120</v>
      </c>
    </row>
    <row r="14" spans="2:16" x14ac:dyDescent="0.25">
      <c r="B14" t="str">
        <f t="shared" si="0"/>
        <v>B1377|Original</v>
      </c>
      <c r="C14" s="2" t="s">
        <v>338</v>
      </c>
      <c r="D14" s="2" t="s">
        <v>4</v>
      </c>
      <c r="E14" s="9" t="s">
        <v>320</v>
      </c>
      <c r="F14" s="2" t="s">
        <v>332</v>
      </c>
      <c r="G14" s="7">
        <v>40</v>
      </c>
      <c r="H14" s="2" t="s">
        <v>57</v>
      </c>
      <c r="I14" s="2" t="s">
        <v>333</v>
      </c>
      <c r="J14" s="2" t="str">
        <f>tblStock[[#This Row],[Modele Machine]]&amp;"|"&amp;tblStock[[#This Row],[Référence]]&amp;"|"&amp;tblStock[[#This Row],[Couleur]]&amp;"|"&amp;tblStock[[#This Row],[Type (Original/Compatible)]]</f>
        <v>MF459|B1377|K|Original</v>
      </c>
      <c r="K14" s="2">
        <v>2</v>
      </c>
      <c r="L14" s="2">
        <f>tblStock[[#This Row],[Stock_total_31_12_2025
Vendargues]]*tblStock[[#This Row],[Prix achat HT]]</f>
        <v>80</v>
      </c>
      <c r="M14" s="2"/>
      <c r="N14" s="2">
        <f>SUMIFS(tblSorties[Quantité],tblSorties[Cleprix],tblStock[[#This Row],[ClePrix]])</f>
        <v>1</v>
      </c>
      <c r="O14" s="2">
        <f>tblStock[[#This Row],[Stock_total_31_12_2025
Vendargues]]+tblStock[[#This Row],[Entrees_2026]]-tblStock[[#This Row],[Sorties_2026]]</f>
        <v>1</v>
      </c>
      <c r="P14" s="17">
        <f>tblStock[[#This Row],[Stock_Actuel]]*tblStock[[#This Row],[Prix achat HT]]</f>
        <v>40</v>
      </c>
    </row>
    <row r="15" spans="2:16" x14ac:dyDescent="0.25">
      <c r="B15" t="str">
        <f t="shared" si="0"/>
        <v>B1378|Original</v>
      </c>
      <c r="C15" s="2" t="s">
        <v>339</v>
      </c>
      <c r="D15" s="2" t="s">
        <v>4</v>
      </c>
      <c r="E15" s="9" t="s">
        <v>322</v>
      </c>
      <c r="F15" s="2" t="s">
        <v>332</v>
      </c>
      <c r="G15" s="7">
        <v>102</v>
      </c>
      <c r="H15" s="2" t="s">
        <v>57</v>
      </c>
      <c r="I15" s="2" t="s">
        <v>333</v>
      </c>
      <c r="J15" s="2" t="str">
        <f>tblStock[[#This Row],[Modele Machine]]&amp;"|"&amp;tblStock[[#This Row],[Référence]]&amp;"|"&amp;tblStock[[#This Row],[Couleur]]&amp;"|"&amp;tblStock[[#This Row],[Type (Original/Compatible)]]</f>
        <v>MF459|B1378|C|Original</v>
      </c>
      <c r="K15" s="2">
        <v>1</v>
      </c>
      <c r="L15" s="2">
        <f>tblStock[[#This Row],[Stock_total_31_12_2025
Vendargues]]*tblStock[[#This Row],[Prix achat HT]]</f>
        <v>102</v>
      </c>
      <c r="M15" s="2"/>
      <c r="N15" s="2">
        <f>SUMIFS(tblSorties[Quantité],tblSorties[Cleprix],tblStock[[#This Row],[ClePrix]])</f>
        <v>0</v>
      </c>
      <c r="O15" s="2">
        <f>tblStock[[#This Row],[Stock_total_31_12_2025
Vendargues]]+tblStock[[#This Row],[Entrees_2026]]-tblStock[[#This Row],[Sorties_2026]]</f>
        <v>1</v>
      </c>
      <c r="P15" s="17">
        <f>tblStock[[#This Row],[Stock_Actuel]]*tblStock[[#This Row],[Prix achat HT]]</f>
        <v>102</v>
      </c>
    </row>
    <row r="16" spans="2:16" x14ac:dyDescent="0.25">
      <c r="B16" t="str">
        <f t="shared" si="0"/>
        <v>B1379|Original</v>
      </c>
      <c r="C16" s="2" t="s">
        <v>340</v>
      </c>
      <c r="D16" s="2" t="s">
        <v>4</v>
      </c>
      <c r="E16" s="9" t="s">
        <v>323</v>
      </c>
      <c r="F16" s="2" t="s">
        <v>332</v>
      </c>
      <c r="G16" s="7">
        <v>102</v>
      </c>
      <c r="H16" s="2" t="s">
        <v>57</v>
      </c>
      <c r="I16" s="2" t="s">
        <v>333</v>
      </c>
      <c r="J16" s="2" t="str">
        <f>tblStock[[#This Row],[Modele Machine]]&amp;"|"&amp;tblStock[[#This Row],[Référence]]&amp;"|"&amp;tblStock[[#This Row],[Couleur]]&amp;"|"&amp;tblStock[[#This Row],[Type (Original/Compatible)]]</f>
        <v>MF459|B1379|M|Original</v>
      </c>
      <c r="K16" s="2">
        <v>1</v>
      </c>
      <c r="L16" s="2">
        <f>tblStock[[#This Row],[Stock_total_31_12_2025
Vendargues]]*tblStock[[#This Row],[Prix achat HT]]</f>
        <v>102</v>
      </c>
      <c r="M16" s="2"/>
      <c r="N16" s="2">
        <f>SUMIFS(tblSorties[Quantité],tblSorties[Cleprix],tblStock[[#This Row],[ClePrix]])</f>
        <v>0</v>
      </c>
      <c r="O16" s="2">
        <f>tblStock[[#This Row],[Stock_total_31_12_2025
Vendargues]]+tblStock[[#This Row],[Entrees_2026]]-tblStock[[#This Row],[Sorties_2026]]</f>
        <v>1</v>
      </c>
      <c r="P16" s="17">
        <f>tblStock[[#This Row],[Stock_Actuel]]*tblStock[[#This Row],[Prix achat HT]]</f>
        <v>102</v>
      </c>
    </row>
    <row r="17" spans="2:16" x14ac:dyDescent="0.25">
      <c r="B17" t="str">
        <f t="shared" si="0"/>
        <v>B1380|Original</v>
      </c>
      <c r="C17" s="2" t="s">
        <v>341</v>
      </c>
      <c r="D17" s="2" t="s">
        <v>4</v>
      </c>
      <c r="E17" s="9" t="s">
        <v>324</v>
      </c>
      <c r="F17" s="2" t="s">
        <v>332</v>
      </c>
      <c r="G17" s="7">
        <v>102</v>
      </c>
      <c r="H17" s="2" t="s">
        <v>57</v>
      </c>
      <c r="I17" s="2" t="s">
        <v>333</v>
      </c>
      <c r="J17" s="2" t="str">
        <f>tblStock[[#This Row],[Modele Machine]]&amp;"|"&amp;tblStock[[#This Row],[Référence]]&amp;"|"&amp;tblStock[[#This Row],[Couleur]]&amp;"|"&amp;tblStock[[#This Row],[Type (Original/Compatible)]]</f>
        <v>MF459|B1380|Y|Original</v>
      </c>
      <c r="K17" s="2">
        <v>1</v>
      </c>
      <c r="L17" s="2">
        <f>tblStock[[#This Row],[Stock_total_31_12_2025
Vendargues]]*tblStock[[#This Row],[Prix achat HT]]</f>
        <v>102</v>
      </c>
      <c r="M17" s="2"/>
      <c r="N17" s="2">
        <f>SUMIFS(tblSorties[Quantité],tblSorties[Cleprix],tblStock[[#This Row],[ClePrix]])</f>
        <v>0</v>
      </c>
      <c r="O17" s="2">
        <f>tblStock[[#This Row],[Stock_total_31_12_2025
Vendargues]]+tblStock[[#This Row],[Entrees_2026]]-tblStock[[#This Row],[Sorties_2026]]</f>
        <v>1</v>
      </c>
      <c r="P17" s="17">
        <f>tblStock[[#This Row],[Stock_Actuel]]*tblStock[[#This Row],[Prix achat HT]]</f>
        <v>102</v>
      </c>
    </row>
    <row r="18" spans="2:16" x14ac:dyDescent="0.25">
      <c r="B18" t="str">
        <f t="shared" si="0"/>
        <v>B1353|Original</v>
      </c>
      <c r="C18" s="2" t="s">
        <v>345</v>
      </c>
      <c r="D18" s="2" t="s">
        <v>4</v>
      </c>
      <c r="E18" s="9" t="s">
        <v>320</v>
      </c>
      <c r="F18" s="2" t="s">
        <v>332</v>
      </c>
      <c r="G18" s="7">
        <v>47</v>
      </c>
      <c r="H18" s="2" t="s">
        <v>481</v>
      </c>
      <c r="I18" s="2" t="s">
        <v>333</v>
      </c>
      <c r="J18" s="2" t="str">
        <f>tblStock[[#This Row],[Modele Machine]]&amp;"|"&amp;tblStock[[#This Row],[Référence]]&amp;"|"&amp;tblStock[[#This Row],[Couleur]]&amp;"|"&amp;tblStock[[#This Row],[Type (Original/Compatible)]]</f>
        <v>MF3301|B1353|K|Original</v>
      </c>
      <c r="K18" s="2">
        <v>0</v>
      </c>
      <c r="L18" s="2">
        <f>tblStock[[#This Row],[Stock_total_31_12_2025
Vendargues]]*tblStock[[#This Row],[Prix achat HT]]</f>
        <v>0</v>
      </c>
      <c r="M18" s="2"/>
      <c r="N18" s="2">
        <f>SUMIFS(tblSorties[Quantité],tblSorties[Cleprix],tblStock[[#This Row],[ClePrix]])</f>
        <v>0</v>
      </c>
      <c r="O18" s="2">
        <f>tblStock[[#This Row],[Stock_total_31_12_2025
Vendargues]]+tblStock[[#This Row],[Entrees_2026]]-tblStock[[#This Row],[Sorties_2026]]</f>
        <v>0</v>
      </c>
      <c r="P18" s="17">
        <f>tblStock[[#This Row],[Stock_Actuel]]*tblStock[[#This Row],[Prix achat HT]]</f>
        <v>0</v>
      </c>
    </row>
    <row r="19" spans="2:16" x14ac:dyDescent="0.25">
      <c r="B19" t="str">
        <f t="shared" si="0"/>
        <v>B1353|Compatible</v>
      </c>
      <c r="C19" s="2" t="s">
        <v>345</v>
      </c>
      <c r="D19" s="2" t="s">
        <v>5</v>
      </c>
      <c r="E19" s="9" t="s">
        <v>320</v>
      </c>
      <c r="F19" s="2" t="s">
        <v>321</v>
      </c>
      <c r="G19" s="7">
        <v>22.3</v>
      </c>
      <c r="H19" s="2" t="s">
        <v>481</v>
      </c>
      <c r="I19" s="2" t="s">
        <v>333</v>
      </c>
      <c r="J19" s="2" t="str">
        <f>tblStock[[#This Row],[Modele Machine]]&amp;"|"&amp;tblStock[[#This Row],[Référence]]&amp;"|"&amp;tblStock[[#This Row],[Couleur]]&amp;"|"&amp;tblStock[[#This Row],[Type (Original/Compatible)]]</f>
        <v>MF3301|B1353|K|Compatible</v>
      </c>
      <c r="K19" s="2">
        <v>2</v>
      </c>
      <c r="L19" s="2">
        <f>tblStock[[#This Row],[Stock_total_31_12_2025
Vendargues]]*tblStock[[#This Row],[Prix achat HT]]</f>
        <v>44.6</v>
      </c>
      <c r="M19" s="2"/>
      <c r="N19" s="2">
        <f>SUMIFS(tblSorties[Quantité],tblSorties[Cleprix],tblStock[[#This Row],[ClePrix]])</f>
        <v>0</v>
      </c>
      <c r="O19" s="2">
        <f>tblStock[[#This Row],[Stock_total_31_12_2025
Vendargues]]+tblStock[[#This Row],[Entrees_2026]]-tblStock[[#This Row],[Sorties_2026]]</f>
        <v>2</v>
      </c>
      <c r="P19" s="17">
        <f>tblStock[[#This Row],[Stock_Actuel]]*tblStock[[#This Row],[Prix achat HT]]</f>
        <v>44.6</v>
      </c>
    </row>
    <row r="20" spans="2:16" x14ac:dyDescent="0.25">
      <c r="B20" t="str">
        <f t="shared" si="0"/>
        <v>B1352|Original</v>
      </c>
      <c r="C20" s="2" t="s">
        <v>518</v>
      </c>
      <c r="D20" s="2" t="s">
        <v>4</v>
      </c>
      <c r="E20" s="9" t="s">
        <v>322</v>
      </c>
      <c r="F20" s="2" t="s">
        <v>332</v>
      </c>
      <c r="G20" s="7">
        <v>49</v>
      </c>
      <c r="H20" s="2" t="s">
        <v>481</v>
      </c>
      <c r="I20" s="2" t="s">
        <v>333</v>
      </c>
      <c r="J20" s="2" t="str">
        <f>tblStock[[#This Row],[Modele Machine]]&amp;"|"&amp;tblStock[[#This Row],[Référence]]&amp;"|"&amp;tblStock[[#This Row],[Couleur]]&amp;"|"&amp;tblStock[[#This Row],[Type (Original/Compatible)]]</f>
        <v>MF3301|B1352|C|Original</v>
      </c>
      <c r="K20" s="2">
        <v>0</v>
      </c>
      <c r="L20" s="2">
        <f>tblStock[[#This Row],[Stock_total_31_12_2025
Vendargues]]*tblStock[[#This Row],[Prix achat HT]]</f>
        <v>0</v>
      </c>
      <c r="M20" s="2"/>
      <c r="N20" s="2">
        <f>SUMIFS(tblSorties[Quantité],tblSorties[Cleprix],tblStock[[#This Row],[ClePrix]])</f>
        <v>0</v>
      </c>
      <c r="O20" s="2">
        <f>tblStock[[#This Row],[Stock_total_31_12_2025
Vendargues]]+tblStock[[#This Row],[Entrees_2026]]-tblStock[[#This Row],[Sorties_2026]]</f>
        <v>0</v>
      </c>
      <c r="P20" s="17">
        <f>tblStock[[#This Row],[Stock_Actuel]]*tblStock[[#This Row],[Prix achat HT]]</f>
        <v>0</v>
      </c>
    </row>
    <row r="21" spans="2:16" x14ac:dyDescent="0.25">
      <c r="B21" t="str">
        <f t="shared" si="0"/>
        <v>B135|Compatible</v>
      </c>
      <c r="C21" s="2" t="s">
        <v>479</v>
      </c>
      <c r="D21" s="2" t="s">
        <v>5</v>
      </c>
      <c r="E21" s="9" t="s">
        <v>322</v>
      </c>
      <c r="F21" s="2" t="s">
        <v>321</v>
      </c>
      <c r="G21" s="7">
        <v>23.3</v>
      </c>
      <c r="H21" s="2" t="s">
        <v>481</v>
      </c>
      <c r="I21" s="2" t="s">
        <v>333</v>
      </c>
      <c r="J21" s="2" t="str">
        <f>tblStock[[#This Row],[Modele Machine]]&amp;"|"&amp;tblStock[[#This Row],[Référence]]&amp;"|"&amp;tblStock[[#This Row],[Couleur]]&amp;"|"&amp;tblStock[[#This Row],[Type (Original/Compatible)]]</f>
        <v>MF3301|B135|C|Compatible</v>
      </c>
      <c r="K21" s="2">
        <v>0</v>
      </c>
      <c r="L21" s="2">
        <f>tblStock[[#This Row],[Stock_total_31_12_2025
Vendargues]]*tblStock[[#This Row],[Prix achat HT]]</f>
        <v>0</v>
      </c>
      <c r="M21" s="2"/>
      <c r="N21" s="2">
        <f>SUMIFS(tblSorties[Quantité],tblSorties[Cleprix],tblStock[[#This Row],[ClePrix]])</f>
        <v>0</v>
      </c>
      <c r="O21" s="2">
        <f>tblStock[[#This Row],[Stock_total_31_12_2025
Vendargues]]+tblStock[[#This Row],[Entrees_2026]]-tblStock[[#This Row],[Sorties_2026]]</f>
        <v>0</v>
      </c>
      <c r="P21" s="17">
        <f>tblStock[[#This Row],[Stock_Actuel]]*tblStock[[#This Row],[Prix achat HT]]</f>
        <v>0</v>
      </c>
    </row>
    <row r="22" spans="2:16" x14ac:dyDescent="0.25">
      <c r="B22" t="str">
        <f t="shared" si="0"/>
        <v>B1354|Original</v>
      </c>
      <c r="C22" s="2" t="s">
        <v>519</v>
      </c>
      <c r="D22" s="2" t="s">
        <v>4</v>
      </c>
      <c r="E22" s="9" t="s">
        <v>323</v>
      </c>
      <c r="F22" s="2" t="s">
        <v>332</v>
      </c>
      <c r="G22" s="8">
        <v>49</v>
      </c>
      <c r="H22" s="2" t="s">
        <v>481</v>
      </c>
      <c r="I22" s="2" t="s">
        <v>333</v>
      </c>
      <c r="J22" s="2" t="str">
        <f>tblStock[[#This Row],[Modele Machine]]&amp;"|"&amp;tblStock[[#This Row],[Référence]]&amp;"|"&amp;tblStock[[#This Row],[Couleur]]&amp;"|"&amp;tblStock[[#This Row],[Type (Original/Compatible)]]</f>
        <v>MF3301|B1354|M|Original</v>
      </c>
      <c r="K22" s="2">
        <v>0</v>
      </c>
      <c r="L22" s="2">
        <f>tblStock[[#This Row],[Stock_total_31_12_2025
Vendargues]]*tblStock[[#This Row],[Prix achat HT]]</f>
        <v>0</v>
      </c>
      <c r="M22" s="2"/>
      <c r="N22" s="2">
        <f>SUMIFS(tblSorties[Quantité],tblSorties[Cleprix],tblStock[[#This Row],[ClePrix]])</f>
        <v>0</v>
      </c>
      <c r="O22" s="2">
        <f>tblStock[[#This Row],[Stock_total_31_12_2025
Vendargues]]+tblStock[[#This Row],[Entrees_2026]]-tblStock[[#This Row],[Sorties_2026]]</f>
        <v>0</v>
      </c>
      <c r="P22" s="17">
        <f>tblStock[[#This Row],[Stock_Actuel]]*tblStock[[#This Row],[Prix achat HT]]</f>
        <v>0</v>
      </c>
    </row>
    <row r="23" spans="2:16" x14ac:dyDescent="0.25">
      <c r="B23" t="str">
        <f t="shared" si="0"/>
        <v>B135|Compatible</v>
      </c>
      <c r="C23" s="2" t="s">
        <v>479</v>
      </c>
      <c r="D23" s="2" t="s">
        <v>5</v>
      </c>
      <c r="E23" s="9" t="s">
        <v>323</v>
      </c>
      <c r="F23" s="2" t="s">
        <v>321</v>
      </c>
      <c r="G23" s="7">
        <v>23.3</v>
      </c>
      <c r="H23" s="2" t="s">
        <v>481</v>
      </c>
      <c r="I23" s="2" t="s">
        <v>333</v>
      </c>
      <c r="J23" s="2" t="str">
        <f>tblStock[[#This Row],[Modele Machine]]&amp;"|"&amp;tblStock[[#This Row],[Référence]]&amp;"|"&amp;tblStock[[#This Row],[Couleur]]&amp;"|"&amp;tblStock[[#This Row],[Type (Original/Compatible)]]</f>
        <v>MF3301|B135|M|Compatible</v>
      </c>
      <c r="K23" s="2">
        <v>0</v>
      </c>
      <c r="L23" s="2">
        <f>tblStock[[#This Row],[Stock_total_31_12_2025
Vendargues]]*tblStock[[#This Row],[Prix achat HT]]</f>
        <v>0</v>
      </c>
      <c r="M23" s="2"/>
      <c r="N23" s="2">
        <f>SUMIFS(tblSorties[Quantité],tblSorties[Cleprix],tblStock[[#This Row],[ClePrix]])</f>
        <v>0</v>
      </c>
      <c r="O23" s="2">
        <f>tblStock[[#This Row],[Stock_total_31_12_2025
Vendargues]]+tblStock[[#This Row],[Entrees_2026]]-tblStock[[#This Row],[Sorties_2026]]</f>
        <v>0</v>
      </c>
      <c r="P23" s="17">
        <f>tblStock[[#This Row],[Stock_Actuel]]*tblStock[[#This Row],[Prix achat HT]]</f>
        <v>0</v>
      </c>
    </row>
    <row r="24" spans="2:16" x14ac:dyDescent="0.25">
      <c r="B24" t="str">
        <f t="shared" si="0"/>
        <v>B1355|Original</v>
      </c>
      <c r="C24" s="2" t="s">
        <v>346</v>
      </c>
      <c r="D24" s="2" t="s">
        <v>4</v>
      </c>
      <c r="E24" s="9" t="s">
        <v>324</v>
      </c>
      <c r="F24" s="2" t="s">
        <v>332</v>
      </c>
      <c r="G24" s="7">
        <v>42.53</v>
      </c>
      <c r="H24" s="2" t="s">
        <v>481</v>
      </c>
      <c r="I24" s="2" t="s">
        <v>333</v>
      </c>
      <c r="J24" s="2" t="str">
        <f>tblStock[[#This Row],[Modele Machine]]&amp;"|"&amp;tblStock[[#This Row],[Référence]]&amp;"|"&amp;tblStock[[#This Row],[Couleur]]&amp;"|"&amp;tblStock[[#This Row],[Type (Original/Compatible)]]</f>
        <v>MF3301|B1355|Y|Original</v>
      </c>
      <c r="K24" s="2">
        <v>1</v>
      </c>
      <c r="L24" s="2">
        <f>tblStock[[#This Row],[Stock_total_31_12_2025
Vendargues]]*tblStock[[#This Row],[Prix achat HT]]</f>
        <v>42.53</v>
      </c>
      <c r="M24" s="2"/>
      <c r="N24" s="2">
        <f>SUMIFS(tblSorties[Quantité],tblSorties[Cleprix],tblStock[[#This Row],[ClePrix]])</f>
        <v>0</v>
      </c>
      <c r="O24" s="2">
        <f>tblStock[[#This Row],[Stock_total_31_12_2025
Vendargues]]+tblStock[[#This Row],[Entrees_2026]]-tblStock[[#This Row],[Sorties_2026]]</f>
        <v>1</v>
      </c>
      <c r="P24" s="17">
        <f>tblStock[[#This Row],[Stock_Actuel]]*tblStock[[#This Row],[Prix achat HT]]</f>
        <v>42.53</v>
      </c>
    </row>
    <row r="25" spans="2:16" x14ac:dyDescent="0.25">
      <c r="B25" t="str">
        <f t="shared" si="0"/>
        <v>B1355|Compatible</v>
      </c>
      <c r="C25" s="2" t="s">
        <v>346</v>
      </c>
      <c r="D25" s="2" t="s">
        <v>5</v>
      </c>
      <c r="E25" s="9" t="s">
        <v>324</v>
      </c>
      <c r="F25" s="2" t="s">
        <v>321</v>
      </c>
      <c r="G25" s="7">
        <v>23.3</v>
      </c>
      <c r="H25" s="2" t="s">
        <v>481</v>
      </c>
      <c r="I25" s="2" t="s">
        <v>333</v>
      </c>
      <c r="J25" s="2" t="str">
        <f>tblStock[[#This Row],[Modele Machine]]&amp;"|"&amp;tblStock[[#This Row],[Référence]]&amp;"|"&amp;tblStock[[#This Row],[Couleur]]&amp;"|"&amp;tblStock[[#This Row],[Type (Original/Compatible)]]</f>
        <v>MF3301|B1355|Y|Compatible</v>
      </c>
      <c r="K25" s="2">
        <v>0</v>
      </c>
      <c r="L25" s="2">
        <f>tblStock[[#This Row],[Stock_total_31_12_2025
Vendargues]]*tblStock[[#This Row],[Prix achat HT]]</f>
        <v>0</v>
      </c>
      <c r="M25" s="2"/>
      <c r="N25" s="2">
        <f>SUMIFS(tblSorties[Quantité],tblSorties[Cleprix],tblStock[[#This Row],[ClePrix]])</f>
        <v>0</v>
      </c>
      <c r="O25" s="2">
        <f>tblStock[[#This Row],[Stock_total_31_12_2025
Vendargues]]+tblStock[[#This Row],[Entrees_2026]]-tblStock[[#This Row],[Sorties_2026]]</f>
        <v>0</v>
      </c>
      <c r="P25" s="17">
        <f>tblStock[[#This Row],[Stock_Actuel]]*tblStock[[#This Row],[Prix achat HT]]</f>
        <v>0</v>
      </c>
    </row>
    <row r="26" spans="2:16" x14ac:dyDescent="0.25">
      <c r="B26" t="str">
        <f t="shared" si="0"/>
        <v>B1353|Original</v>
      </c>
      <c r="C26" s="2" t="s">
        <v>345</v>
      </c>
      <c r="D26" s="2" t="s">
        <v>4</v>
      </c>
      <c r="E26" s="9" t="s">
        <v>320</v>
      </c>
      <c r="F26" s="2" t="s">
        <v>332</v>
      </c>
      <c r="G26" s="7">
        <v>47</v>
      </c>
      <c r="H26" s="2" t="s">
        <v>457</v>
      </c>
      <c r="I26" s="2" t="s">
        <v>333</v>
      </c>
      <c r="J26" s="2" t="str">
        <f>tblStock[[#This Row],[Modele Machine]]&amp;"|"&amp;tblStock[[#This Row],[Référence]]&amp;"|"&amp;tblStock[[#This Row],[Couleur]]&amp;"|"&amp;tblStock[[#This Row],[Type (Original/Compatible)]]</f>
        <v>MF3302|B1353|K|Original</v>
      </c>
      <c r="K26" s="2">
        <v>3</v>
      </c>
      <c r="L26" s="2">
        <f>tblStock[[#This Row],[Stock_total_31_12_2025
Vendargues]]*tblStock[[#This Row],[Prix achat HT]]</f>
        <v>141</v>
      </c>
      <c r="M26" s="2">
        <v>3</v>
      </c>
      <c r="N26" s="2">
        <f>SUMIFS(tblSorties[Quantité],tblSorties[Cleprix],tblStock[[#This Row],[ClePrix]])</f>
        <v>3</v>
      </c>
      <c r="O26" s="2">
        <f>tblStock[[#This Row],[Stock_total_31_12_2025
Vendargues]]+tblStock[[#This Row],[Entrees_2026]]-tblStock[[#This Row],[Sorties_2026]]</f>
        <v>3</v>
      </c>
      <c r="P26" s="17">
        <f>tblStock[[#This Row],[Stock_Actuel]]*tblStock[[#This Row],[Prix achat HT]]</f>
        <v>141</v>
      </c>
    </row>
    <row r="27" spans="2:16" x14ac:dyDescent="0.25">
      <c r="B27" t="str">
        <f t="shared" si="0"/>
        <v>B1353|Compatible</v>
      </c>
      <c r="C27" s="2" t="s">
        <v>345</v>
      </c>
      <c r="D27" s="2" t="s">
        <v>5</v>
      </c>
      <c r="E27" s="9" t="s">
        <v>320</v>
      </c>
      <c r="F27" s="2" t="s">
        <v>321</v>
      </c>
      <c r="G27" s="7">
        <v>22.3</v>
      </c>
      <c r="H27" s="2" t="s">
        <v>457</v>
      </c>
      <c r="I27" s="2" t="s">
        <v>333</v>
      </c>
      <c r="J27" s="2" t="str">
        <f>tblStock[[#This Row],[Modele Machine]]&amp;"|"&amp;tblStock[[#This Row],[Référence]]&amp;"|"&amp;tblStock[[#This Row],[Couleur]]&amp;"|"&amp;tblStock[[#This Row],[Type (Original/Compatible)]]</f>
        <v>MF3302|B1353|K|Compatible</v>
      </c>
      <c r="K27" s="2">
        <v>0</v>
      </c>
      <c r="L27" s="2">
        <f>tblStock[[#This Row],[Stock_total_31_12_2025
Vendargues]]*tblStock[[#This Row],[Prix achat HT]]</f>
        <v>0</v>
      </c>
      <c r="M27" s="2"/>
      <c r="N27" s="2">
        <f>SUMIFS(tblSorties[Quantité],tblSorties[Cleprix],tblStock[[#This Row],[ClePrix]])</f>
        <v>0</v>
      </c>
      <c r="O27" s="2">
        <f>tblStock[[#This Row],[Stock_total_31_12_2025
Vendargues]]+tblStock[[#This Row],[Entrees_2026]]-tblStock[[#This Row],[Sorties_2026]]</f>
        <v>0</v>
      </c>
      <c r="P27" s="17">
        <f>tblStock[[#This Row],[Stock_Actuel]]*tblStock[[#This Row],[Prix achat HT]]</f>
        <v>0</v>
      </c>
    </row>
    <row r="28" spans="2:16" x14ac:dyDescent="0.25">
      <c r="B28" t="str">
        <f t="shared" si="0"/>
        <v>B1352|Original</v>
      </c>
      <c r="C28" s="2" t="s">
        <v>518</v>
      </c>
      <c r="D28" s="2" t="s">
        <v>4</v>
      </c>
      <c r="E28" s="9" t="s">
        <v>322</v>
      </c>
      <c r="F28" s="2" t="s">
        <v>332</v>
      </c>
      <c r="G28" s="7">
        <v>49</v>
      </c>
      <c r="H28" s="2" t="s">
        <v>457</v>
      </c>
      <c r="I28" s="2" t="s">
        <v>333</v>
      </c>
      <c r="J28" s="2" t="str">
        <f>tblStock[[#This Row],[Modele Machine]]&amp;"|"&amp;tblStock[[#This Row],[Référence]]&amp;"|"&amp;tblStock[[#This Row],[Couleur]]&amp;"|"&amp;tblStock[[#This Row],[Type (Original/Compatible)]]</f>
        <v>MF3302|B1352|C|Original</v>
      </c>
      <c r="K28" s="2">
        <v>2</v>
      </c>
      <c r="L28" s="2">
        <f>tblStock[[#This Row],[Stock_total_31_12_2025
Vendargues]]*tblStock[[#This Row],[Prix achat HT]]</f>
        <v>98</v>
      </c>
      <c r="M28" s="2">
        <v>2</v>
      </c>
      <c r="N28" s="2">
        <f>SUMIFS(tblSorties[Quantité],tblSorties[Cleprix],tblStock[[#This Row],[ClePrix]])</f>
        <v>0</v>
      </c>
      <c r="O28" s="2">
        <f>tblStock[[#This Row],[Stock_total_31_12_2025
Vendargues]]+tblStock[[#This Row],[Entrees_2026]]-tblStock[[#This Row],[Sorties_2026]]</f>
        <v>4</v>
      </c>
      <c r="P28" s="17">
        <f>tblStock[[#This Row],[Stock_Actuel]]*tblStock[[#This Row],[Prix achat HT]]</f>
        <v>196</v>
      </c>
    </row>
    <row r="29" spans="2:16" x14ac:dyDescent="0.25">
      <c r="B29" t="str">
        <f t="shared" si="0"/>
        <v>B135|Compatible</v>
      </c>
      <c r="C29" s="2" t="s">
        <v>479</v>
      </c>
      <c r="D29" s="2" t="s">
        <v>5</v>
      </c>
      <c r="E29" s="9" t="s">
        <v>322</v>
      </c>
      <c r="F29" s="2" t="s">
        <v>321</v>
      </c>
      <c r="G29" s="7">
        <v>23.3</v>
      </c>
      <c r="H29" s="2" t="s">
        <v>457</v>
      </c>
      <c r="I29" s="2" t="s">
        <v>333</v>
      </c>
      <c r="J29" s="2" t="str">
        <f>tblStock[[#This Row],[Modele Machine]]&amp;"|"&amp;tblStock[[#This Row],[Référence]]&amp;"|"&amp;tblStock[[#This Row],[Couleur]]&amp;"|"&amp;tblStock[[#This Row],[Type (Original/Compatible)]]</f>
        <v>MF3302|B135|C|Compatible</v>
      </c>
      <c r="K29" s="2">
        <v>0</v>
      </c>
      <c r="L29" s="2">
        <f>tblStock[[#This Row],[Stock_total_31_12_2025
Vendargues]]*tblStock[[#This Row],[Prix achat HT]]</f>
        <v>0</v>
      </c>
      <c r="M29" s="2"/>
      <c r="N29" s="2">
        <f>SUMIFS(tblSorties[Quantité],tblSorties[Cleprix],tblStock[[#This Row],[ClePrix]])</f>
        <v>0</v>
      </c>
      <c r="O29" s="2">
        <f>tblStock[[#This Row],[Stock_total_31_12_2025
Vendargues]]+tblStock[[#This Row],[Entrees_2026]]-tblStock[[#This Row],[Sorties_2026]]</f>
        <v>0</v>
      </c>
      <c r="P29" s="17">
        <f>tblStock[[#This Row],[Stock_Actuel]]*tblStock[[#This Row],[Prix achat HT]]</f>
        <v>0</v>
      </c>
    </row>
    <row r="30" spans="2:16" x14ac:dyDescent="0.25">
      <c r="B30" t="str">
        <f t="shared" si="0"/>
        <v>B1354|Original</v>
      </c>
      <c r="C30" s="2" t="s">
        <v>519</v>
      </c>
      <c r="D30" s="2" t="s">
        <v>4</v>
      </c>
      <c r="E30" s="9" t="s">
        <v>323</v>
      </c>
      <c r="F30" s="2" t="s">
        <v>332</v>
      </c>
      <c r="G30" s="8">
        <v>49</v>
      </c>
      <c r="H30" s="2" t="s">
        <v>457</v>
      </c>
      <c r="I30" s="2" t="s">
        <v>333</v>
      </c>
      <c r="J30" s="2" t="str">
        <f>tblStock[[#This Row],[Modele Machine]]&amp;"|"&amp;tblStock[[#This Row],[Référence]]&amp;"|"&amp;tblStock[[#This Row],[Couleur]]&amp;"|"&amp;tblStock[[#This Row],[Type (Original/Compatible)]]</f>
        <v>MF3302|B1354|M|Original</v>
      </c>
      <c r="K30" s="2">
        <v>3</v>
      </c>
      <c r="L30" s="2">
        <f>tblStock[[#This Row],[Stock_total_31_12_2025
Vendargues]]*tblStock[[#This Row],[Prix achat HT]]</f>
        <v>147</v>
      </c>
      <c r="M30" s="2">
        <v>2</v>
      </c>
      <c r="N30" s="2">
        <f>SUMIFS(tblSorties[Quantité],tblSorties[Cleprix],tblStock[[#This Row],[ClePrix]])</f>
        <v>0</v>
      </c>
      <c r="O30" s="2">
        <f>tblStock[[#This Row],[Stock_total_31_12_2025
Vendargues]]+tblStock[[#This Row],[Entrees_2026]]-tblStock[[#This Row],[Sorties_2026]]</f>
        <v>5</v>
      </c>
      <c r="P30" s="17">
        <f>tblStock[[#This Row],[Stock_Actuel]]*tblStock[[#This Row],[Prix achat HT]]</f>
        <v>245</v>
      </c>
    </row>
    <row r="31" spans="2:16" x14ac:dyDescent="0.25">
      <c r="B31" t="str">
        <f t="shared" si="0"/>
        <v>B135|Compatible</v>
      </c>
      <c r="C31" s="2" t="s">
        <v>479</v>
      </c>
      <c r="D31" s="2" t="s">
        <v>5</v>
      </c>
      <c r="E31" s="9" t="s">
        <v>323</v>
      </c>
      <c r="F31" s="2" t="s">
        <v>321</v>
      </c>
      <c r="G31" s="7">
        <v>23.3</v>
      </c>
      <c r="H31" s="2" t="s">
        <v>457</v>
      </c>
      <c r="I31" s="2" t="s">
        <v>333</v>
      </c>
      <c r="J31" s="2" t="str">
        <f>tblStock[[#This Row],[Modele Machine]]&amp;"|"&amp;tblStock[[#This Row],[Référence]]&amp;"|"&amp;tblStock[[#This Row],[Couleur]]&amp;"|"&amp;tblStock[[#This Row],[Type (Original/Compatible)]]</f>
        <v>MF3302|B135|M|Compatible</v>
      </c>
      <c r="K31" s="2">
        <v>0</v>
      </c>
      <c r="L31" s="2">
        <f>tblStock[[#This Row],[Stock_total_31_12_2025
Vendargues]]*tblStock[[#This Row],[Prix achat HT]]</f>
        <v>0</v>
      </c>
      <c r="M31" s="2"/>
      <c r="N31" s="2">
        <f>SUMIFS(tblSorties[Quantité],tblSorties[Cleprix],tblStock[[#This Row],[ClePrix]])</f>
        <v>0</v>
      </c>
      <c r="O31" s="2">
        <f>tblStock[[#This Row],[Stock_total_31_12_2025
Vendargues]]+tblStock[[#This Row],[Entrees_2026]]-tblStock[[#This Row],[Sorties_2026]]</f>
        <v>0</v>
      </c>
      <c r="P31" s="17">
        <f>tblStock[[#This Row],[Stock_Actuel]]*tblStock[[#This Row],[Prix achat HT]]</f>
        <v>0</v>
      </c>
    </row>
    <row r="32" spans="2:16" x14ac:dyDescent="0.25">
      <c r="B32" t="str">
        <f t="shared" si="0"/>
        <v>B1355|Original</v>
      </c>
      <c r="C32" s="2" t="s">
        <v>346</v>
      </c>
      <c r="D32" s="2" t="s">
        <v>4</v>
      </c>
      <c r="E32" s="9" t="s">
        <v>324</v>
      </c>
      <c r="F32" s="2" t="s">
        <v>332</v>
      </c>
      <c r="G32" s="7">
        <v>42.53</v>
      </c>
      <c r="H32" s="2" t="s">
        <v>457</v>
      </c>
      <c r="I32" s="2" t="s">
        <v>333</v>
      </c>
      <c r="J32" s="2" t="str">
        <f>tblStock[[#This Row],[Modele Machine]]&amp;"|"&amp;tblStock[[#This Row],[Référence]]&amp;"|"&amp;tblStock[[#This Row],[Couleur]]&amp;"|"&amp;tblStock[[#This Row],[Type (Original/Compatible)]]</f>
        <v>MF3302|B1355|Y|Original</v>
      </c>
      <c r="K32" s="2">
        <v>4</v>
      </c>
      <c r="L32" s="2">
        <f>tblStock[[#This Row],[Stock_total_31_12_2025
Vendargues]]*tblStock[[#This Row],[Prix achat HT]]</f>
        <v>170.12</v>
      </c>
      <c r="M32" s="2"/>
      <c r="N32" s="2">
        <f>SUMIFS(tblSorties[Quantité],tblSorties[Cleprix],tblStock[[#This Row],[ClePrix]])</f>
        <v>3</v>
      </c>
      <c r="O32" s="2">
        <f>tblStock[[#This Row],[Stock_total_31_12_2025
Vendargues]]+tblStock[[#This Row],[Entrees_2026]]-tblStock[[#This Row],[Sorties_2026]]</f>
        <v>1</v>
      </c>
      <c r="P32" s="17">
        <f>tblStock[[#This Row],[Stock_Actuel]]*tblStock[[#This Row],[Prix achat HT]]</f>
        <v>42.53</v>
      </c>
    </row>
    <row r="33" spans="2:16" x14ac:dyDescent="0.25">
      <c r="B33" t="str">
        <f t="shared" si="0"/>
        <v>B1355|Compatible</v>
      </c>
      <c r="C33" s="2" t="s">
        <v>346</v>
      </c>
      <c r="D33" s="2" t="s">
        <v>5</v>
      </c>
      <c r="E33" s="9" t="s">
        <v>324</v>
      </c>
      <c r="F33" s="2" t="s">
        <v>321</v>
      </c>
      <c r="G33" s="7">
        <v>23.3</v>
      </c>
      <c r="H33" s="2" t="s">
        <v>457</v>
      </c>
      <c r="I33" s="2" t="s">
        <v>333</v>
      </c>
      <c r="J33" s="2" t="str">
        <f>tblStock[[#This Row],[Modele Machine]]&amp;"|"&amp;tblStock[[#This Row],[Référence]]&amp;"|"&amp;tblStock[[#This Row],[Couleur]]&amp;"|"&amp;tblStock[[#This Row],[Type (Original/Compatible)]]</f>
        <v>MF3302|B1355|Y|Compatible</v>
      </c>
      <c r="K33" s="2">
        <v>0</v>
      </c>
      <c r="L33" s="2">
        <f>tblStock[[#This Row],[Stock_total_31_12_2025
Vendargues]]*tblStock[[#This Row],[Prix achat HT]]</f>
        <v>0</v>
      </c>
      <c r="M33" s="2"/>
      <c r="N33" s="2">
        <f>SUMIFS(tblSorties[Quantité],tblSorties[Cleprix],tblStock[[#This Row],[ClePrix]])</f>
        <v>0</v>
      </c>
      <c r="O33" s="2">
        <f>tblStock[[#This Row],[Stock_total_31_12_2025
Vendargues]]+tblStock[[#This Row],[Entrees_2026]]-tblStock[[#This Row],[Sorties_2026]]</f>
        <v>0</v>
      </c>
      <c r="P33" s="17">
        <f>tblStock[[#This Row],[Stock_Actuel]]*tblStock[[#This Row],[Prix achat HT]]</f>
        <v>0</v>
      </c>
    </row>
    <row r="34" spans="2:16" x14ac:dyDescent="0.25">
      <c r="B34" t="str">
        <f t="shared" ref="B34:B66" si="1">C34&amp;"|"&amp;D34</f>
        <v>B1337|Original</v>
      </c>
      <c r="C34" s="2" t="s">
        <v>348</v>
      </c>
      <c r="D34" s="2" t="s">
        <v>4</v>
      </c>
      <c r="E34" s="9" t="s">
        <v>320</v>
      </c>
      <c r="F34" s="2" t="s">
        <v>332</v>
      </c>
      <c r="G34" s="7">
        <v>26</v>
      </c>
      <c r="H34" s="2" t="s">
        <v>347</v>
      </c>
      <c r="I34" s="2" t="s">
        <v>333</v>
      </c>
      <c r="J34" s="2" t="str">
        <f>tblStock[[#This Row],[Modele Machine]]&amp;"|"&amp;tblStock[[#This Row],[Référence]]&amp;"|"&amp;tblStock[[#This Row],[Couleur]]&amp;"|"&amp;tblStock[[#This Row],[Type (Original/Compatible)]]</f>
        <v>MF3303|B1337|K|Original</v>
      </c>
      <c r="K34" s="2">
        <v>2</v>
      </c>
      <c r="L34" s="2">
        <f>tblStock[[#This Row],[Stock_total_31_12_2025
Vendargues]]*tblStock[[#This Row],[Prix achat HT]]</f>
        <v>52</v>
      </c>
      <c r="M34" s="2"/>
      <c r="N34" s="2">
        <f>SUMIFS(tblSorties[Quantité],tblSorties[Cleprix],tblStock[[#This Row],[ClePrix]])</f>
        <v>0</v>
      </c>
      <c r="O34" s="2">
        <f>tblStock[[#This Row],[Stock_total_31_12_2025
Vendargues]]+tblStock[[#This Row],[Entrees_2026]]-tblStock[[#This Row],[Sorties_2026]]</f>
        <v>2</v>
      </c>
      <c r="P34" s="17">
        <f>tblStock[[#This Row],[Stock_Actuel]]*tblStock[[#This Row],[Prix achat HT]]</f>
        <v>52</v>
      </c>
    </row>
    <row r="35" spans="2:16" x14ac:dyDescent="0.25">
      <c r="B35" t="str">
        <f t="shared" si="1"/>
        <v>B1336|Original</v>
      </c>
      <c r="C35" s="2" t="s">
        <v>349</v>
      </c>
      <c r="D35" s="2" t="s">
        <v>4</v>
      </c>
      <c r="E35" s="9" t="s">
        <v>322</v>
      </c>
      <c r="F35" s="2" t="s">
        <v>332</v>
      </c>
      <c r="G35" s="7">
        <v>32</v>
      </c>
      <c r="H35" s="2" t="s">
        <v>347</v>
      </c>
      <c r="I35" s="2" t="s">
        <v>333</v>
      </c>
      <c r="J35" s="2" t="str">
        <f>tblStock[[#This Row],[Modele Machine]]&amp;"|"&amp;tblStock[[#This Row],[Référence]]&amp;"|"&amp;tblStock[[#This Row],[Couleur]]&amp;"|"&amp;tblStock[[#This Row],[Type (Original/Compatible)]]</f>
        <v>MF3303|B1336|C|Original</v>
      </c>
      <c r="K35" s="2">
        <v>1</v>
      </c>
      <c r="L35" s="2">
        <f>tblStock[[#This Row],[Stock_total_31_12_2025
Vendargues]]*tblStock[[#This Row],[Prix achat HT]]</f>
        <v>32</v>
      </c>
      <c r="M35" s="2"/>
      <c r="N35" s="2">
        <f>SUMIFS(tblSorties[Quantité],tblSorties[Cleprix],tblStock[[#This Row],[ClePrix]])</f>
        <v>0</v>
      </c>
      <c r="O35" s="2">
        <f>tblStock[[#This Row],[Stock_total_31_12_2025
Vendargues]]+tblStock[[#This Row],[Entrees_2026]]-tblStock[[#This Row],[Sorties_2026]]</f>
        <v>1</v>
      </c>
      <c r="P35" s="17">
        <f>tblStock[[#This Row],[Stock_Actuel]]*tblStock[[#This Row],[Prix achat HT]]</f>
        <v>32</v>
      </c>
    </row>
    <row r="36" spans="2:16" x14ac:dyDescent="0.25">
      <c r="B36" t="str">
        <f t="shared" si="1"/>
        <v>B1338|Original</v>
      </c>
      <c r="C36" s="2" t="s">
        <v>350</v>
      </c>
      <c r="D36" s="2" t="s">
        <v>4</v>
      </c>
      <c r="E36" s="9" t="s">
        <v>323</v>
      </c>
      <c r="F36" s="2" t="s">
        <v>332</v>
      </c>
      <c r="G36" s="7">
        <v>32</v>
      </c>
      <c r="H36" s="2" t="s">
        <v>347</v>
      </c>
      <c r="I36" s="2" t="s">
        <v>333</v>
      </c>
      <c r="J36" s="2" t="str">
        <f>tblStock[[#This Row],[Modele Machine]]&amp;"|"&amp;tblStock[[#This Row],[Référence]]&amp;"|"&amp;tblStock[[#This Row],[Couleur]]&amp;"|"&amp;tblStock[[#This Row],[Type (Original/Compatible)]]</f>
        <v>MF3303|B1338|M|Original</v>
      </c>
      <c r="K36" s="2">
        <v>1</v>
      </c>
      <c r="L36" s="2">
        <f>tblStock[[#This Row],[Stock_total_31_12_2025
Vendargues]]*tblStock[[#This Row],[Prix achat HT]]</f>
        <v>32</v>
      </c>
      <c r="M36" s="2"/>
      <c r="N36" s="2">
        <f>SUMIFS(tblSorties[Quantité],tblSorties[Cleprix],tblStock[[#This Row],[ClePrix]])</f>
        <v>0</v>
      </c>
      <c r="O36" s="2">
        <f>tblStock[[#This Row],[Stock_total_31_12_2025
Vendargues]]+tblStock[[#This Row],[Entrees_2026]]-tblStock[[#This Row],[Sorties_2026]]</f>
        <v>1</v>
      </c>
      <c r="P36" s="17">
        <f>tblStock[[#This Row],[Stock_Actuel]]*tblStock[[#This Row],[Prix achat HT]]</f>
        <v>32</v>
      </c>
    </row>
    <row r="37" spans="2:16" x14ac:dyDescent="0.25">
      <c r="B37" t="str">
        <f t="shared" si="1"/>
        <v>B1339|Original</v>
      </c>
      <c r="C37" s="2" t="s">
        <v>351</v>
      </c>
      <c r="D37" s="2" t="s">
        <v>4</v>
      </c>
      <c r="E37" s="9" t="s">
        <v>324</v>
      </c>
      <c r="F37" s="2" t="s">
        <v>332</v>
      </c>
      <c r="G37" s="7">
        <v>32</v>
      </c>
      <c r="H37" s="2" t="s">
        <v>347</v>
      </c>
      <c r="I37" s="2" t="s">
        <v>333</v>
      </c>
      <c r="J37" s="2" t="str">
        <f>tblStock[[#This Row],[Modele Machine]]&amp;"|"&amp;tblStock[[#This Row],[Référence]]&amp;"|"&amp;tblStock[[#This Row],[Couleur]]&amp;"|"&amp;tblStock[[#This Row],[Type (Original/Compatible)]]</f>
        <v>MF3303|B1339|Y|Original</v>
      </c>
      <c r="K37" s="2">
        <v>0</v>
      </c>
      <c r="L37" s="2">
        <f>tblStock[[#This Row],[Stock_total_31_12_2025
Vendargues]]*tblStock[[#This Row],[Prix achat HT]]</f>
        <v>0</v>
      </c>
      <c r="M37" s="2"/>
      <c r="N37" s="2">
        <f>SUMIFS(tblSorties[Quantité],tblSorties[Cleprix],tblStock[[#This Row],[ClePrix]])</f>
        <v>0</v>
      </c>
      <c r="O37" s="2">
        <f>tblStock[[#This Row],[Stock_total_31_12_2025
Vendargues]]+tblStock[[#This Row],[Entrees_2026]]-tblStock[[#This Row],[Sorties_2026]]</f>
        <v>0</v>
      </c>
      <c r="P37" s="17">
        <f>tblStock[[#This Row],[Stock_Actuel]]*tblStock[[#This Row],[Prix achat HT]]</f>
        <v>0</v>
      </c>
    </row>
    <row r="38" spans="2:16" x14ac:dyDescent="0.25">
      <c r="B38" t="str">
        <f t="shared" si="1"/>
        <v>TK1150|Compatible</v>
      </c>
      <c r="C38" s="2" t="s">
        <v>486</v>
      </c>
      <c r="D38" s="2" t="s">
        <v>5</v>
      </c>
      <c r="E38" s="9" t="s">
        <v>320</v>
      </c>
      <c r="F38" s="2" t="s">
        <v>321</v>
      </c>
      <c r="G38" s="7">
        <v>34</v>
      </c>
      <c r="H38" s="2" t="s">
        <v>352</v>
      </c>
      <c r="I38" s="2" t="s">
        <v>353</v>
      </c>
      <c r="J38" s="2" t="str">
        <f>tblStock[[#This Row],[Modele Machine]]&amp;"|"&amp;tblStock[[#This Row],[Référence]]&amp;"|"&amp;tblStock[[#This Row],[Couleur]]&amp;"|"&amp;tblStock[[#This Row],[Type (Original/Compatible)]]</f>
        <v>M2135|TK1150|K|Compatible</v>
      </c>
      <c r="K38" s="2">
        <v>1</v>
      </c>
      <c r="L38" s="2">
        <f>tblStock[[#This Row],[Stock_total_31_12_2025
Vendargues]]*tblStock[[#This Row],[Prix achat HT]]</f>
        <v>34</v>
      </c>
      <c r="M38" s="2"/>
      <c r="N38" s="2">
        <f>SUMIFS(tblSorties[Quantité],tblSorties[Cleprix],tblStock[[#This Row],[ClePrix]])</f>
        <v>0</v>
      </c>
      <c r="O38" s="2">
        <f>tblStock[[#This Row],[Stock_total_31_12_2025
Vendargues]]+tblStock[[#This Row],[Entrees_2026]]-tblStock[[#This Row],[Sorties_2026]]</f>
        <v>1</v>
      </c>
      <c r="P38" s="17">
        <f>tblStock[[#This Row],[Stock_Actuel]]*tblStock[[#This Row],[Prix achat HT]]</f>
        <v>34</v>
      </c>
    </row>
    <row r="39" spans="2:16" x14ac:dyDescent="0.25">
      <c r="B39" t="str">
        <f t="shared" si="1"/>
        <v>TK1160|Compatible</v>
      </c>
      <c r="C39" s="2" t="s">
        <v>357</v>
      </c>
      <c r="D39" s="2" t="s">
        <v>5</v>
      </c>
      <c r="E39" s="9" t="s">
        <v>320</v>
      </c>
      <c r="F39" s="2" t="s">
        <v>321</v>
      </c>
      <c r="G39" s="7">
        <v>35.450000000000003</v>
      </c>
      <c r="H39" s="2" t="s">
        <v>355</v>
      </c>
      <c r="I39" s="2" t="s">
        <v>353</v>
      </c>
      <c r="J39" s="2" t="str">
        <f>tblStock[[#This Row],[Modele Machine]]&amp;"|"&amp;tblStock[[#This Row],[Référence]]&amp;"|"&amp;tblStock[[#This Row],[Couleur]]&amp;"|"&amp;tblStock[[#This Row],[Type (Original/Compatible)]]</f>
        <v>P2040|TK1160|K|Compatible</v>
      </c>
      <c r="K39" s="2">
        <v>1</v>
      </c>
      <c r="L39" s="2">
        <f>tblStock[[#This Row],[Stock_total_31_12_2025
Vendargues]]*tblStock[[#This Row],[Prix achat HT]]</f>
        <v>35.450000000000003</v>
      </c>
      <c r="M39" s="2"/>
      <c r="N39" s="2">
        <f>SUMIFS(tblSorties[Quantité],tblSorties[Cleprix],tblStock[[#This Row],[ClePrix]])</f>
        <v>0</v>
      </c>
      <c r="O39" s="2">
        <f>tblStock[[#This Row],[Stock_total_31_12_2025
Vendargues]]+tblStock[[#This Row],[Entrees_2026]]-tblStock[[#This Row],[Sorties_2026]]</f>
        <v>1</v>
      </c>
      <c r="P39" s="17">
        <f>tblStock[[#This Row],[Stock_Actuel]]*tblStock[[#This Row],[Prix achat HT]]</f>
        <v>35.450000000000003</v>
      </c>
    </row>
    <row r="40" spans="2:16" x14ac:dyDescent="0.25">
      <c r="B40" t="str">
        <f t="shared" si="1"/>
        <v>TK1170|Compatible</v>
      </c>
      <c r="C40" s="2" t="s">
        <v>358</v>
      </c>
      <c r="D40" s="2" t="s">
        <v>5</v>
      </c>
      <c r="E40" s="9" t="s">
        <v>320</v>
      </c>
      <c r="F40" s="2" t="s">
        <v>321</v>
      </c>
      <c r="G40" s="7">
        <v>32.4</v>
      </c>
      <c r="H40" s="2" t="s">
        <v>356</v>
      </c>
      <c r="I40" s="2" t="s">
        <v>353</v>
      </c>
      <c r="J40" s="2" t="str">
        <f>tblStock[[#This Row],[Modele Machine]]&amp;"|"&amp;tblStock[[#This Row],[Référence]]&amp;"|"&amp;tblStock[[#This Row],[Couleur]]&amp;"|"&amp;tblStock[[#This Row],[Type (Original/Compatible)]]</f>
        <v>M2040|TK1170|K|Compatible</v>
      </c>
      <c r="K40" s="2">
        <v>3</v>
      </c>
      <c r="L40" s="2">
        <f>tblStock[[#This Row],[Stock_total_31_12_2025
Vendargues]]*tblStock[[#This Row],[Prix achat HT]]</f>
        <v>97.199999999999989</v>
      </c>
      <c r="M40" s="2"/>
      <c r="N40" s="2">
        <f>SUMIFS(tblSorties[Quantité],tblSorties[Cleprix],tblStock[[#This Row],[ClePrix]])</f>
        <v>0</v>
      </c>
      <c r="O40" s="2">
        <f>tblStock[[#This Row],[Stock_total_31_12_2025
Vendargues]]+tblStock[[#This Row],[Entrees_2026]]-tblStock[[#This Row],[Sorties_2026]]</f>
        <v>3</v>
      </c>
      <c r="P40" s="17">
        <f>tblStock[[#This Row],[Stock_Actuel]]*tblStock[[#This Row],[Prix achat HT]]</f>
        <v>97.199999999999989</v>
      </c>
    </row>
    <row r="41" spans="2:16" x14ac:dyDescent="0.25">
      <c r="B41" t="str">
        <f t="shared" si="1"/>
        <v>TK3060|Compatible</v>
      </c>
      <c r="C41" s="2" t="s">
        <v>359</v>
      </c>
      <c r="D41" s="2" t="s">
        <v>5</v>
      </c>
      <c r="E41" s="9" t="s">
        <v>320</v>
      </c>
      <c r="F41" s="2" t="s">
        <v>360</v>
      </c>
      <c r="G41" s="7">
        <v>40.36</v>
      </c>
      <c r="H41" s="2" t="s">
        <v>48</v>
      </c>
      <c r="I41" s="2" t="s">
        <v>353</v>
      </c>
      <c r="J41" s="2" t="str">
        <f>tblStock[[#This Row],[Modele Machine]]&amp;"|"&amp;tblStock[[#This Row],[Référence]]&amp;"|"&amp;tblStock[[#This Row],[Couleur]]&amp;"|"&amp;tblStock[[#This Row],[Type (Original/Compatible)]]</f>
        <v>M3145|TK3060|K|Compatible</v>
      </c>
      <c r="K41" s="2">
        <v>1</v>
      </c>
      <c r="L41" s="2">
        <f>tblStock[[#This Row],[Stock_total_31_12_2025
Vendargues]]*tblStock[[#This Row],[Prix achat HT]]</f>
        <v>40.36</v>
      </c>
      <c r="M41" s="2"/>
      <c r="N41" s="2">
        <f>SUMIFS(tblSorties[Quantité],tblSorties[Cleprix],tblStock[[#This Row],[ClePrix]])</f>
        <v>0</v>
      </c>
      <c r="O41" s="2">
        <f>tblStock[[#This Row],[Stock_total_31_12_2025
Vendargues]]+tblStock[[#This Row],[Entrees_2026]]-tblStock[[#This Row],[Sorties_2026]]</f>
        <v>1</v>
      </c>
      <c r="P41" s="17">
        <f>tblStock[[#This Row],[Stock_Actuel]]*tblStock[[#This Row],[Prix achat HT]]</f>
        <v>40.36</v>
      </c>
    </row>
    <row r="42" spans="2:16" x14ac:dyDescent="0.25">
      <c r="B42" t="str">
        <f>C42&amp;"|"&amp;D42</f>
        <v>TK3160|Compatible</v>
      </c>
      <c r="C42" s="2" t="s">
        <v>509</v>
      </c>
      <c r="D42" s="2" t="s">
        <v>5</v>
      </c>
      <c r="E42" s="9" t="s">
        <v>320</v>
      </c>
      <c r="F42" s="2" t="s">
        <v>332</v>
      </c>
      <c r="G42" s="7">
        <v>31</v>
      </c>
      <c r="H42" s="2" t="s">
        <v>48</v>
      </c>
      <c r="I42" s="2" t="s">
        <v>353</v>
      </c>
      <c r="J42" s="2" t="str">
        <f>tblStock[[#This Row],[Modele Machine]]&amp;"|"&amp;tblStock[[#This Row],[Référence]]&amp;"|"&amp;tblStock[[#This Row],[Couleur]]&amp;"|"&amp;tblStock[[#This Row],[Type (Original/Compatible)]]</f>
        <v>M3145|TK3160|K|Compatible</v>
      </c>
      <c r="K42" s="2">
        <v>0</v>
      </c>
      <c r="L42" s="2">
        <f>tblStock[[#This Row],[Stock_total_31_12_2025
Vendargues]]*tblStock[[#This Row],[Prix achat HT]]</f>
        <v>0</v>
      </c>
      <c r="M42" s="2">
        <v>2</v>
      </c>
      <c r="N42" s="2">
        <f>SUMIFS(tblSorties[Quantité],tblSorties[Cleprix],tblStock[[#This Row],[ClePrix]])</f>
        <v>0</v>
      </c>
      <c r="O42" s="2">
        <f>tblStock[[#This Row],[Stock_total_31_12_2025
Vendargues]]+tblStock[[#This Row],[Entrees_2026]]-tblStock[[#This Row],[Sorties_2026]]</f>
        <v>2</v>
      </c>
      <c r="P42" s="2">
        <f>tblStock[[#This Row],[Stock_Actuel]]*tblStock[[#This Row],[Prix achat HT]]</f>
        <v>62</v>
      </c>
    </row>
    <row r="43" spans="2:16" x14ac:dyDescent="0.25">
      <c r="B43" t="str">
        <f t="shared" si="1"/>
        <v>TK5195|Original</v>
      </c>
      <c r="C43" s="2" t="s">
        <v>361</v>
      </c>
      <c r="D43" s="2" t="s">
        <v>4</v>
      </c>
      <c r="E43" s="9" t="s">
        <v>320</v>
      </c>
      <c r="F43" s="2" t="s">
        <v>332</v>
      </c>
      <c r="G43" s="7">
        <v>55.2</v>
      </c>
      <c r="H43" s="2" t="s">
        <v>155</v>
      </c>
      <c r="I43" s="2" t="s">
        <v>353</v>
      </c>
      <c r="J43" s="2" t="str">
        <f>tblStock[[#This Row],[Modele Machine]]&amp;"|"&amp;tblStock[[#This Row],[Référence]]&amp;"|"&amp;tblStock[[#This Row],[Couleur]]&amp;"|"&amp;tblStock[[#This Row],[Type (Original/Compatible)]]</f>
        <v>306Ci|TK5195|K|Original</v>
      </c>
      <c r="K43" s="2">
        <v>0</v>
      </c>
      <c r="L43" s="2">
        <f>tblStock[[#This Row],[Stock_total_31_12_2025
Vendargues]]*tblStock[[#This Row],[Prix achat HT]]</f>
        <v>0</v>
      </c>
      <c r="M43" s="2"/>
      <c r="N43" s="2">
        <f>SUMIFS(tblSorties[Quantité],tblSorties[Cleprix],tblStock[[#This Row],[ClePrix]])</f>
        <v>0</v>
      </c>
      <c r="O43" s="2">
        <f>tblStock[[#This Row],[Stock_total_31_12_2025
Vendargues]]+tblStock[[#This Row],[Entrees_2026]]-tblStock[[#This Row],[Sorties_2026]]</f>
        <v>0</v>
      </c>
      <c r="P43" s="17">
        <f>tblStock[[#This Row],[Stock_Actuel]]*tblStock[[#This Row],[Prix achat HT]]</f>
        <v>0</v>
      </c>
    </row>
    <row r="44" spans="2:16" x14ac:dyDescent="0.25">
      <c r="B44" t="str">
        <f t="shared" si="1"/>
        <v>TK5195|Compatible</v>
      </c>
      <c r="C44" s="2" t="s">
        <v>361</v>
      </c>
      <c r="D44" s="2" t="s">
        <v>5</v>
      </c>
      <c r="E44" s="9" t="s">
        <v>320</v>
      </c>
      <c r="F44" s="2" t="s">
        <v>321</v>
      </c>
      <c r="G44" s="7">
        <v>32.200000000000003</v>
      </c>
      <c r="H44" s="2" t="s">
        <v>155</v>
      </c>
      <c r="I44" s="2" t="s">
        <v>353</v>
      </c>
      <c r="J44" s="2" t="str">
        <f>tblStock[[#This Row],[Modele Machine]]&amp;"|"&amp;tblStock[[#This Row],[Référence]]&amp;"|"&amp;tblStock[[#This Row],[Couleur]]&amp;"|"&amp;tblStock[[#This Row],[Type (Original/Compatible)]]</f>
        <v>306Ci|TK5195|K|Compatible</v>
      </c>
      <c r="K44" s="2">
        <v>2</v>
      </c>
      <c r="L44" s="2">
        <f>tblStock[[#This Row],[Stock_total_31_12_2025
Vendargues]]*tblStock[[#This Row],[Prix achat HT]]</f>
        <v>64.400000000000006</v>
      </c>
      <c r="M44" s="2"/>
      <c r="N44" s="2">
        <f>SUMIFS(tblSorties[Quantité],tblSorties[Cleprix],tblStock[[#This Row],[ClePrix]])</f>
        <v>0</v>
      </c>
      <c r="O44" s="2">
        <f>tblStock[[#This Row],[Stock_total_31_12_2025
Vendargues]]+tblStock[[#This Row],[Entrees_2026]]-tblStock[[#This Row],[Sorties_2026]]</f>
        <v>2</v>
      </c>
      <c r="P44" s="17">
        <f>tblStock[[#This Row],[Stock_Actuel]]*tblStock[[#This Row],[Prix achat HT]]</f>
        <v>64.400000000000006</v>
      </c>
    </row>
    <row r="45" spans="2:16" x14ac:dyDescent="0.25">
      <c r="B45" t="str">
        <f t="shared" si="1"/>
        <v>TK5195C|Original</v>
      </c>
      <c r="C45" s="2" t="s">
        <v>362</v>
      </c>
      <c r="D45" s="2" t="s">
        <v>4</v>
      </c>
      <c r="E45" s="9" t="s">
        <v>322</v>
      </c>
      <c r="F45" s="2" t="s">
        <v>332</v>
      </c>
      <c r="G45" s="7">
        <v>94.5</v>
      </c>
      <c r="H45" s="2" t="s">
        <v>155</v>
      </c>
      <c r="I45" s="2" t="s">
        <v>353</v>
      </c>
      <c r="J45" s="2" t="str">
        <f>tblStock[[#This Row],[Modele Machine]]&amp;"|"&amp;tblStock[[#This Row],[Référence]]&amp;"|"&amp;tblStock[[#This Row],[Couleur]]&amp;"|"&amp;tblStock[[#This Row],[Type (Original/Compatible)]]</f>
        <v>306Ci|TK5195C|C|Original</v>
      </c>
      <c r="K45" s="2">
        <v>2</v>
      </c>
      <c r="L45" s="2">
        <f>tblStock[[#This Row],[Stock_total_31_12_2025
Vendargues]]*tblStock[[#This Row],[Prix achat HT]]</f>
        <v>189</v>
      </c>
      <c r="M45" s="2"/>
      <c r="N45" s="2">
        <f>SUMIFS(tblSorties[Quantité],tblSorties[Cleprix],tblStock[[#This Row],[ClePrix]])</f>
        <v>1</v>
      </c>
      <c r="O45" s="2">
        <f>tblStock[[#This Row],[Stock_total_31_12_2025
Vendargues]]+tblStock[[#This Row],[Entrees_2026]]-tblStock[[#This Row],[Sorties_2026]]</f>
        <v>1</v>
      </c>
      <c r="P45" s="17">
        <f>tblStock[[#This Row],[Stock_Actuel]]*tblStock[[#This Row],[Prix achat HT]]</f>
        <v>94.5</v>
      </c>
    </row>
    <row r="46" spans="2:16" x14ac:dyDescent="0.25">
      <c r="B46" t="str">
        <f t="shared" si="1"/>
        <v>TK5195C|Compatible</v>
      </c>
      <c r="C46" s="2" t="s">
        <v>362</v>
      </c>
      <c r="D46" s="2" t="s">
        <v>5</v>
      </c>
      <c r="E46" s="9" t="s">
        <v>322</v>
      </c>
      <c r="F46" s="2" t="s">
        <v>321</v>
      </c>
      <c r="G46" s="7">
        <v>45.55</v>
      </c>
      <c r="H46" s="2" t="s">
        <v>155</v>
      </c>
      <c r="I46" s="2" t="s">
        <v>353</v>
      </c>
      <c r="J46" s="2" t="str">
        <f>tblStock[[#This Row],[Modele Machine]]&amp;"|"&amp;tblStock[[#This Row],[Référence]]&amp;"|"&amp;tblStock[[#This Row],[Couleur]]&amp;"|"&amp;tblStock[[#This Row],[Type (Original/Compatible)]]</f>
        <v>306Ci|TK5195C|C|Compatible</v>
      </c>
      <c r="K46" s="2">
        <v>0</v>
      </c>
      <c r="L46" s="2">
        <f>tblStock[[#This Row],[Stock_total_31_12_2025
Vendargues]]*tblStock[[#This Row],[Prix achat HT]]</f>
        <v>0</v>
      </c>
      <c r="M46" s="2"/>
      <c r="N46" s="2">
        <f>SUMIFS(tblSorties[Quantité],tblSorties[Cleprix],tblStock[[#This Row],[ClePrix]])</f>
        <v>0</v>
      </c>
      <c r="O46" s="2">
        <f>tblStock[[#This Row],[Stock_total_31_12_2025
Vendargues]]+tblStock[[#This Row],[Entrees_2026]]-tblStock[[#This Row],[Sorties_2026]]</f>
        <v>0</v>
      </c>
      <c r="P46" s="17">
        <f>tblStock[[#This Row],[Stock_Actuel]]*tblStock[[#This Row],[Prix achat HT]]</f>
        <v>0</v>
      </c>
    </row>
    <row r="47" spans="2:16" x14ac:dyDescent="0.25">
      <c r="B47" t="str">
        <f t="shared" si="1"/>
        <v>TK5195M|Original</v>
      </c>
      <c r="C47" s="2" t="s">
        <v>363</v>
      </c>
      <c r="D47" s="2" t="s">
        <v>4</v>
      </c>
      <c r="E47" s="9" t="s">
        <v>323</v>
      </c>
      <c r="F47" s="2" t="s">
        <v>332</v>
      </c>
      <c r="G47" s="7">
        <v>94.5</v>
      </c>
      <c r="H47" s="2" t="s">
        <v>155</v>
      </c>
      <c r="I47" s="2" t="s">
        <v>353</v>
      </c>
      <c r="J47" s="2" t="str">
        <f>tblStock[[#This Row],[Modele Machine]]&amp;"|"&amp;tblStock[[#This Row],[Référence]]&amp;"|"&amp;tblStock[[#This Row],[Couleur]]&amp;"|"&amp;tblStock[[#This Row],[Type (Original/Compatible)]]</f>
        <v>306Ci|TK5195M|M|Original</v>
      </c>
      <c r="K47" s="2">
        <v>0</v>
      </c>
      <c r="L47" s="2">
        <f>tblStock[[#This Row],[Stock_total_31_12_2025
Vendargues]]*tblStock[[#This Row],[Prix achat HT]]</f>
        <v>0</v>
      </c>
      <c r="M47" s="2"/>
      <c r="N47" s="2">
        <f>SUMIFS(tblSorties[Quantité],tblSorties[Cleprix],tblStock[[#This Row],[ClePrix]])</f>
        <v>0</v>
      </c>
      <c r="O47" s="2">
        <f>tblStock[[#This Row],[Stock_total_31_12_2025
Vendargues]]+tblStock[[#This Row],[Entrees_2026]]-tblStock[[#This Row],[Sorties_2026]]</f>
        <v>0</v>
      </c>
      <c r="P47" s="17">
        <f>tblStock[[#This Row],[Stock_Actuel]]*tblStock[[#This Row],[Prix achat HT]]</f>
        <v>0</v>
      </c>
    </row>
    <row r="48" spans="2:16" x14ac:dyDescent="0.25">
      <c r="B48" t="str">
        <f t="shared" si="1"/>
        <v>TK5195M|Compatible</v>
      </c>
      <c r="C48" s="2" t="s">
        <v>363</v>
      </c>
      <c r="D48" s="2" t="s">
        <v>5</v>
      </c>
      <c r="E48" s="9" t="s">
        <v>323</v>
      </c>
      <c r="F48" s="2" t="s">
        <v>321</v>
      </c>
      <c r="G48" s="7">
        <v>45.55</v>
      </c>
      <c r="H48" s="2" t="s">
        <v>155</v>
      </c>
      <c r="I48" s="2" t="s">
        <v>353</v>
      </c>
      <c r="J48" s="2" t="str">
        <f>tblStock[[#This Row],[Modele Machine]]&amp;"|"&amp;tblStock[[#This Row],[Référence]]&amp;"|"&amp;tblStock[[#This Row],[Couleur]]&amp;"|"&amp;tblStock[[#This Row],[Type (Original/Compatible)]]</f>
        <v>306Ci|TK5195M|M|Compatible</v>
      </c>
      <c r="K48" s="2">
        <v>2</v>
      </c>
      <c r="L48" s="2">
        <f>tblStock[[#This Row],[Stock_total_31_12_2025
Vendargues]]*tblStock[[#This Row],[Prix achat HT]]</f>
        <v>91.1</v>
      </c>
      <c r="M48" s="2"/>
      <c r="N48" s="2">
        <f>SUMIFS(tblSorties[Quantité],tblSorties[Cleprix],tblStock[[#This Row],[ClePrix]])</f>
        <v>0</v>
      </c>
      <c r="O48" s="2">
        <f>tblStock[[#This Row],[Stock_total_31_12_2025
Vendargues]]+tblStock[[#This Row],[Entrees_2026]]-tblStock[[#This Row],[Sorties_2026]]</f>
        <v>2</v>
      </c>
      <c r="P48" s="17">
        <f>tblStock[[#This Row],[Stock_Actuel]]*tblStock[[#This Row],[Prix achat HT]]</f>
        <v>91.1</v>
      </c>
    </row>
    <row r="49" spans="2:16" x14ac:dyDescent="0.25">
      <c r="B49" t="str">
        <f t="shared" si="1"/>
        <v>TK5195Y|Original</v>
      </c>
      <c r="C49" s="2" t="s">
        <v>364</v>
      </c>
      <c r="D49" s="2" t="s">
        <v>4</v>
      </c>
      <c r="E49" s="9" t="s">
        <v>324</v>
      </c>
      <c r="F49" s="2" t="s">
        <v>332</v>
      </c>
      <c r="G49" s="7">
        <v>94.5</v>
      </c>
      <c r="H49" s="2" t="s">
        <v>155</v>
      </c>
      <c r="I49" s="2" t="s">
        <v>353</v>
      </c>
      <c r="J49" s="2" t="str">
        <f>tblStock[[#This Row],[Modele Machine]]&amp;"|"&amp;tblStock[[#This Row],[Référence]]&amp;"|"&amp;tblStock[[#This Row],[Couleur]]&amp;"|"&amp;tblStock[[#This Row],[Type (Original/Compatible)]]</f>
        <v>306Ci|TK5195Y|Y|Original</v>
      </c>
      <c r="K49" s="2">
        <v>1</v>
      </c>
      <c r="L49" s="2">
        <f>tblStock[[#This Row],[Stock_total_31_12_2025
Vendargues]]*tblStock[[#This Row],[Prix achat HT]]</f>
        <v>94.5</v>
      </c>
      <c r="M49" s="2"/>
      <c r="N49" s="2">
        <f>SUMIFS(tblSorties[Quantité],tblSorties[Cleprix],tblStock[[#This Row],[ClePrix]])</f>
        <v>0</v>
      </c>
      <c r="O49" s="2">
        <f>tblStock[[#This Row],[Stock_total_31_12_2025
Vendargues]]+tblStock[[#This Row],[Entrees_2026]]-tblStock[[#This Row],[Sorties_2026]]</f>
        <v>1</v>
      </c>
      <c r="P49" s="17">
        <f>tblStock[[#This Row],[Stock_Actuel]]*tblStock[[#This Row],[Prix achat HT]]</f>
        <v>94.5</v>
      </c>
    </row>
    <row r="50" spans="2:16" x14ac:dyDescent="0.25">
      <c r="B50" t="str">
        <f t="shared" si="1"/>
        <v>TK5195Y|Compatible</v>
      </c>
      <c r="C50" s="2" t="s">
        <v>364</v>
      </c>
      <c r="D50" s="2" t="s">
        <v>5</v>
      </c>
      <c r="E50" s="9" t="s">
        <v>324</v>
      </c>
      <c r="F50" s="2" t="s">
        <v>321</v>
      </c>
      <c r="G50" s="7">
        <v>45.55</v>
      </c>
      <c r="H50" s="2" t="s">
        <v>155</v>
      </c>
      <c r="I50" s="2" t="s">
        <v>353</v>
      </c>
      <c r="J50" s="2" t="str">
        <f>tblStock[[#This Row],[Modele Machine]]&amp;"|"&amp;tblStock[[#This Row],[Référence]]&amp;"|"&amp;tblStock[[#This Row],[Couleur]]&amp;"|"&amp;tblStock[[#This Row],[Type (Original/Compatible)]]</f>
        <v>306Ci|TK5195Y|Y|Compatible</v>
      </c>
      <c r="K50" s="2">
        <v>0</v>
      </c>
      <c r="L50" s="2">
        <f>tblStock[[#This Row],[Stock_total_31_12_2025
Vendargues]]*tblStock[[#This Row],[Prix achat HT]]</f>
        <v>0</v>
      </c>
      <c r="M50" s="2"/>
      <c r="N50" s="2">
        <f>SUMIFS(tblSorties[Quantité],tblSorties[Cleprix],tblStock[[#This Row],[ClePrix]])</f>
        <v>0</v>
      </c>
      <c r="O50" s="2">
        <f>tblStock[[#This Row],[Stock_total_31_12_2025
Vendargues]]+tblStock[[#This Row],[Entrees_2026]]-tblStock[[#This Row],[Sorties_2026]]</f>
        <v>0</v>
      </c>
      <c r="P50" s="17">
        <f>tblStock[[#This Row],[Stock_Actuel]]*tblStock[[#This Row],[Prix achat HT]]</f>
        <v>0</v>
      </c>
    </row>
    <row r="51" spans="2:16" x14ac:dyDescent="0.25">
      <c r="B51" t="str">
        <f t="shared" si="1"/>
        <v>TK8515K|Original</v>
      </c>
      <c r="C51" s="2" t="s">
        <v>365</v>
      </c>
      <c r="D51" s="2" t="s">
        <v>4</v>
      </c>
      <c r="E51" s="9" t="s">
        <v>320</v>
      </c>
      <c r="F51" s="2" t="s">
        <v>332</v>
      </c>
      <c r="G51" s="7">
        <v>75</v>
      </c>
      <c r="H51" s="2" t="s">
        <v>506</v>
      </c>
      <c r="I51" s="2" t="s">
        <v>353</v>
      </c>
      <c r="J51" s="2" t="str">
        <f>tblStock[[#This Row],[Modele Machine]]&amp;"|"&amp;tblStock[[#This Row],[Référence]]&amp;"|"&amp;tblStock[[#This Row],[Couleur]]&amp;"|"&amp;tblStock[[#This Row],[Type (Original/Compatible)]]</f>
        <v>5052/5053Ci|TK8515K|K|Original</v>
      </c>
      <c r="K51" s="2">
        <v>0</v>
      </c>
      <c r="L51" s="2">
        <f>tblStock[[#This Row],[Stock_total_31_12_2025
Vendargues]]*tblStock[[#This Row],[Prix achat HT]]</f>
        <v>0</v>
      </c>
      <c r="M51" s="2"/>
      <c r="N51" s="2">
        <f>SUMIFS(tblSorties[Quantité],tblSorties[Cleprix],tblStock[[#This Row],[ClePrix]])</f>
        <v>0</v>
      </c>
      <c r="O51" s="2">
        <f>tblStock[[#This Row],[Stock_total_31_12_2025
Vendargues]]+tblStock[[#This Row],[Entrees_2026]]-tblStock[[#This Row],[Sorties_2026]]</f>
        <v>0</v>
      </c>
      <c r="P51" s="17">
        <f>tblStock[[#This Row],[Stock_Actuel]]*tblStock[[#This Row],[Prix achat HT]]</f>
        <v>0</v>
      </c>
    </row>
    <row r="52" spans="2:16" x14ac:dyDescent="0.25">
      <c r="B52" t="str">
        <f t="shared" si="1"/>
        <v>TK8515K|Compatible</v>
      </c>
      <c r="C52" s="2" t="s">
        <v>365</v>
      </c>
      <c r="D52" s="2" t="s">
        <v>5</v>
      </c>
      <c r="E52" s="9" t="s">
        <v>320</v>
      </c>
      <c r="F52" s="2" t="s">
        <v>360</v>
      </c>
      <c r="G52" s="7">
        <v>35.549999999999997</v>
      </c>
      <c r="H52" s="2" t="s">
        <v>506</v>
      </c>
      <c r="I52" s="2" t="s">
        <v>353</v>
      </c>
      <c r="J52" s="2" t="str">
        <f>tblStock[[#This Row],[Modele Machine]]&amp;"|"&amp;tblStock[[#This Row],[Référence]]&amp;"|"&amp;tblStock[[#This Row],[Couleur]]&amp;"|"&amp;tblStock[[#This Row],[Type (Original/Compatible)]]</f>
        <v>5052/5053Ci|TK8515K|K|Compatible</v>
      </c>
      <c r="K52" s="2">
        <v>3</v>
      </c>
      <c r="L52" s="2">
        <f>tblStock[[#This Row],[Stock_total_31_12_2025
Vendargues]]*tblStock[[#This Row],[Prix achat HT]]</f>
        <v>106.64999999999999</v>
      </c>
      <c r="M52" s="2"/>
      <c r="N52" s="2">
        <f>SUMIFS(tblSorties[Quantité],tblSorties[Cleprix],tblStock[[#This Row],[ClePrix]])</f>
        <v>1</v>
      </c>
      <c r="O52" s="2">
        <f>tblStock[[#This Row],[Stock_total_31_12_2025
Vendargues]]+tblStock[[#This Row],[Entrees_2026]]-tblStock[[#This Row],[Sorties_2026]]</f>
        <v>2</v>
      </c>
      <c r="P52" s="17">
        <f>tblStock[[#This Row],[Stock_Actuel]]*tblStock[[#This Row],[Prix achat HT]]</f>
        <v>71.099999999999994</v>
      </c>
    </row>
    <row r="53" spans="2:16" x14ac:dyDescent="0.25">
      <c r="B53" t="str">
        <f t="shared" si="1"/>
        <v>TK8515C|Original</v>
      </c>
      <c r="C53" s="2" t="s">
        <v>366</v>
      </c>
      <c r="D53" s="2" t="s">
        <v>4</v>
      </c>
      <c r="E53" s="9" t="s">
        <v>322</v>
      </c>
      <c r="F53" s="2" t="s">
        <v>332</v>
      </c>
      <c r="G53" s="7">
        <v>127.51</v>
      </c>
      <c r="H53" s="2" t="s">
        <v>506</v>
      </c>
      <c r="I53" s="2" t="s">
        <v>353</v>
      </c>
      <c r="J53" s="2" t="str">
        <f>tblStock[[#This Row],[Modele Machine]]&amp;"|"&amp;tblStock[[#This Row],[Référence]]&amp;"|"&amp;tblStock[[#This Row],[Couleur]]&amp;"|"&amp;tblStock[[#This Row],[Type (Original/Compatible)]]</f>
        <v>5052/5053Ci|TK8515C|C|Original</v>
      </c>
      <c r="K53" s="2">
        <v>0</v>
      </c>
      <c r="L53" s="2">
        <f>tblStock[[#This Row],[Stock_total_31_12_2025
Vendargues]]*tblStock[[#This Row],[Prix achat HT]]</f>
        <v>0</v>
      </c>
      <c r="M53" s="2"/>
      <c r="N53" s="2">
        <f>SUMIFS(tblSorties[Quantité],tblSorties[Cleprix],tblStock[[#This Row],[ClePrix]])</f>
        <v>0</v>
      </c>
      <c r="O53" s="2">
        <f>tblStock[[#This Row],[Stock_total_31_12_2025
Vendargues]]+tblStock[[#This Row],[Entrees_2026]]-tblStock[[#This Row],[Sorties_2026]]</f>
        <v>0</v>
      </c>
      <c r="P53" s="17">
        <f>tblStock[[#This Row],[Stock_Actuel]]*tblStock[[#This Row],[Prix achat HT]]</f>
        <v>0</v>
      </c>
    </row>
    <row r="54" spans="2:16" x14ac:dyDescent="0.25">
      <c r="B54" t="str">
        <f t="shared" si="1"/>
        <v>TK8515C|Compatible</v>
      </c>
      <c r="C54" s="2" t="s">
        <v>366</v>
      </c>
      <c r="D54" s="2" t="s">
        <v>5</v>
      </c>
      <c r="E54" s="9" t="s">
        <v>322</v>
      </c>
      <c r="F54" s="2" t="s">
        <v>321</v>
      </c>
      <c r="G54" s="7">
        <v>59.75</v>
      </c>
      <c r="H54" s="2" t="s">
        <v>506</v>
      </c>
      <c r="I54" s="2" t="s">
        <v>353</v>
      </c>
      <c r="J54" s="2" t="str">
        <f>tblStock[[#This Row],[Modele Machine]]&amp;"|"&amp;tblStock[[#This Row],[Référence]]&amp;"|"&amp;tblStock[[#This Row],[Couleur]]&amp;"|"&amp;tblStock[[#This Row],[Type (Original/Compatible)]]</f>
        <v>5052/5053Ci|TK8515C|C|Compatible</v>
      </c>
      <c r="K54" s="2">
        <v>2</v>
      </c>
      <c r="L54" s="2">
        <f>tblStock[[#This Row],[Stock_total_31_12_2025
Vendargues]]*tblStock[[#This Row],[Prix achat HT]]</f>
        <v>119.5</v>
      </c>
      <c r="M54" s="2"/>
      <c r="N54" s="2">
        <f>SUMIFS(tblSorties[Quantité],tblSorties[Cleprix],tblStock[[#This Row],[ClePrix]])</f>
        <v>1</v>
      </c>
      <c r="O54" s="2">
        <f>tblStock[[#This Row],[Stock_total_31_12_2025
Vendargues]]+tblStock[[#This Row],[Entrees_2026]]-tblStock[[#This Row],[Sorties_2026]]</f>
        <v>1</v>
      </c>
      <c r="P54" s="17">
        <f>tblStock[[#This Row],[Stock_Actuel]]*tblStock[[#This Row],[Prix achat HT]]</f>
        <v>59.75</v>
      </c>
    </row>
    <row r="55" spans="2:16" x14ac:dyDescent="0.25">
      <c r="B55" t="str">
        <f t="shared" si="1"/>
        <v>TK8515M|Original</v>
      </c>
      <c r="C55" s="2" t="s">
        <v>367</v>
      </c>
      <c r="D55" s="2" t="s">
        <v>4</v>
      </c>
      <c r="E55" s="9" t="s">
        <v>323</v>
      </c>
      <c r="F55" s="2" t="s">
        <v>332</v>
      </c>
      <c r="G55" s="7">
        <v>127.51</v>
      </c>
      <c r="H55" s="2" t="s">
        <v>506</v>
      </c>
      <c r="I55" s="2" t="s">
        <v>353</v>
      </c>
      <c r="J55" s="2" t="str">
        <f>tblStock[[#This Row],[Modele Machine]]&amp;"|"&amp;tblStock[[#This Row],[Référence]]&amp;"|"&amp;tblStock[[#This Row],[Couleur]]&amp;"|"&amp;tblStock[[#This Row],[Type (Original/Compatible)]]</f>
        <v>5052/5053Ci|TK8515M|M|Original</v>
      </c>
      <c r="K55" s="2">
        <v>1</v>
      </c>
      <c r="L55" s="2">
        <f>tblStock[[#This Row],[Stock_total_31_12_2025
Vendargues]]*tblStock[[#This Row],[Prix achat HT]]</f>
        <v>127.51</v>
      </c>
      <c r="M55" s="2"/>
      <c r="N55" s="2">
        <f>SUMIFS(tblSorties[Quantité],tblSorties[Cleprix],tblStock[[#This Row],[ClePrix]])</f>
        <v>0</v>
      </c>
      <c r="O55" s="2">
        <f>tblStock[[#This Row],[Stock_total_31_12_2025
Vendargues]]+tblStock[[#This Row],[Entrees_2026]]-tblStock[[#This Row],[Sorties_2026]]</f>
        <v>1</v>
      </c>
      <c r="P55" s="17">
        <f>tblStock[[#This Row],[Stock_Actuel]]*tblStock[[#This Row],[Prix achat HT]]</f>
        <v>127.51</v>
      </c>
    </row>
    <row r="56" spans="2:16" x14ac:dyDescent="0.25">
      <c r="B56" t="str">
        <f t="shared" si="1"/>
        <v>TK8515M|Compatible</v>
      </c>
      <c r="C56" s="2" t="s">
        <v>367</v>
      </c>
      <c r="D56" s="2" t="s">
        <v>5</v>
      </c>
      <c r="E56" s="9" t="s">
        <v>323</v>
      </c>
      <c r="F56" s="2" t="s">
        <v>321</v>
      </c>
      <c r="G56" s="7">
        <v>59.75</v>
      </c>
      <c r="H56" s="2" t="s">
        <v>506</v>
      </c>
      <c r="I56" s="2" t="s">
        <v>353</v>
      </c>
      <c r="J56" s="2" t="str">
        <f>tblStock[[#This Row],[Modele Machine]]&amp;"|"&amp;tblStock[[#This Row],[Référence]]&amp;"|"&amp;tblStock[[#This Row],[Couleur]]&amp;"|"&amp;tblStock[[#This Row],[Type (Original/Compatible)]]</f>
        <v>5052/5053Ci|TK8515M|M|Compatible</v>
      </c>
      <c r="K56" s="2">
        <v>0</v>
      </c>
      <c r="L56" s="2">
        <f>tblStock[[#This Row],[Stock_total_31_12_2025
Vendargues]]*tblStock[[#This Row],[Prix achat HT]]</f>
        <v>0</v>
      </c>
      <c r="M56" s="2"/>
      <c r="N56" s="2">
        <f>SUMIFS(tblSorties[Quantité],tblSorties[Cleprix],tblStock[[#This Row],[ClePrix]])</f>
        <v>0</v>
      </c>
      <c r="O56" s="2">
        <f>tblStock[[#This Row],[Stock_total_31_12_2025
Vendargues]]+tblStock[[#This Row],[Entrees_2026]]-tblStock[[#This Row],[Sorties_2026]]</f>
        <v>0</v>
      </c>
      <c r="P56" s="17">
        <f>tblStock[[#This Row],[Stock_Actuel]]*tblStock[[#This Row],[Prix achat HT]]</f>
        <v>0</v>
      </c>
    </row>
    <row r="57" spans="2:16" x14ac:dyDescent="0.25">
      <c r="B57" t="str">
        <f t="shared" si="1"/>
        <v>TK8515Y|Original</v>
      </c>
      <c r="C57" s="2" t="s">
        <v>368</v>
      </c>
      <c r="D57" s="2" t="s">
        <v>4</v>
      </c>
      <c r="E57" s="9" t="s">
        <v>324</v>
      </c>
      <c r="F57" s="2" t="s">
        <v>332</v>
      </c>
      <c r="G57" s="7">
        <v>127.51</v>
      </c>
      <c r="H57" s="2" t="s">
        <v>506</v>
      </c>
      <c r="I57" s="2" t="s">
        <v>353</v>
      </c>
      <c r="J57" s="2" t="str">
        <f>tblStock[[#This Row],[Modele Machine]]&amp;"|"&amp;tblStock[[#This Row],[Référence]]&amp;"|"&amp;tblStock[[#This Row],[Couleur]]&amp;"|"&amp;tblStock[[#This Row],[Type (Original/Compatible)]]</f>
        <v>5052/5053Ci|TK8515Y|Y|Original</v>
      </c>
      <c r="K57" s="2">
        <v>0</v>
      </c>
      <c r="L57" s="2">
        <f>tblStock[[#This Row],[Stock_total_31_12_2025
Vendargues]]*tblStock[[#This Row],[Prix achat HT]]</f>
        <v>0</v>
      </c>
      <c r="M57" s="2"/>
      <c r="N57" s="2">
        <f>SUMIFS(tblSorties[Quantité],tblSorties[Cleprix],tblStock[[#This Row],[ClePrix]])</f>
        <v>0</v>
      </c>
      <c r="O57" s="2">
        <f>tblStock[[#This Row],[Stock_total_31_12_2025
Vendargues]]+tblStock[[#This Row],[Entrees_2026]]-tblStock[[#This Row],[Sorties_2026]]</f>
        <v>0</v>
      </c>
      <c r="P57" s="17">
        <f>tblStock[[#This Row],[Stock_Actuel]]*tblStock[[#This Row],[Prix achat HT]]</f>
        <v>0</v>
      </c>
    </row>
    <row r="58" spans="2:16" x14ac:dyDescent="0.25">
      <c r="B58" t="str">
        <f t="shared" si="1"/>
        <v>TK8515Y|Compatible</v>
      </c>
      <c r="C58" s="2" t="s">
        <v>368</v>
      </c>
      <c r="D58" s="2" t="s">
        <v>5</v>
      </c>
      <c r="E58" s="9" t="s">
        <v>324</v>
      </c>
      <c r="F58" s="2" t="s">
        <v>321</v>
      </c>
      <c r="G58" s="7">
        <v>59.75</v>
      </c>
      <c r="H58" s="2" t="s">
        <v>506</v>
      </c>
      <c r="I58" s="2" t="s">
        <v>353</v>
      </c>
      <c r="J58" s="2" t="str">
        <f>tblStock[[#This Row],[Modele Machine]]&amp;"|"&amp;tblStock[[#This Row],[Référence]]&amp;"|"&amp;tblStock[[#This Row],[Couleur]]&amp;"|"&amp;tblStock[[#This Row],[Type (Original/Compatible)]]</f>
        <v>5052/5053Ci|TK8515Y|Y|Compatible</v>
      </c>
      <c r="K58" s="2">
        <v>3</v>
      </c>
      <c r="L58" s="2">
        <f>tblStock[[#This Row],[Stock_total_31_12_2025
Vendargues]]*tblStock[[#This Row],[Prix achat HT]]</f>
        <v>179.25</v>
      </c>
      <c r="M58" s="2"/>
      <c r="N58" s="2">
        <f>SUMIFS(tblSorties[Quantité],tblSorties[Cleprix],tblStock[[#This Row],[ClePrix]])</f>
        <v>1</v>
      </c>
      <c r="O58" s="2">
        <f>tblStock[[#This Row],[Stock_total_31_12_2025
Vendargues]]+tblStock[[#This Row],[Entrees_2026]]-tblStock[[#This Row],[Sorties_2026]]</f>
        <v>2</v>
      </c>
      <c r="P58" s="17">
        <f>tblStock[[#This Row],[Stock_Actuel]]*tblStock[[#This Row],[Prix achat HT]]</f>
        <v>119.5</v>
      </c>
    </row>
    <row r="59" spans="2:16" x14ac:dyDescent="0.25">
      <c r="B59" t="str">
        <f t="shared" si="1"/>
        <v>TK8555K|Original</v>
      </c>
      <c r="C59" s="2" t="s">
        <v>369</v>
      </c>
      <c r="D59" s="2" t="s">
        <v>4</v>
      </c>
      <c r="E59" s="9" t="s">
        <v>320</v>
      </c>
      <c r="F59" s="2" t="s">
        <v>332</v>
      </c>
      <c r="G59" s="7">
        <v>75</v>
      </c>
      <c r="H59" s="2" t="s">
        <v>512</v>
      </c>
      <c r="I59" s="2" t="s">
        <v>353</v>
      </c>
      <c r="J59" s="2" t="str">
        <f>tblStock[[#This Row],[Modele Machine]]&amp;"|"&amp;tblStock[[#This Row],[Référence]]&amp;"|"&amp;tblStock[[#This Row],[Couleur]]&amp;"|"&amp;tblStock[[#This Row],[Type (Original/Compatible)]]</f>
        <v>6054CI/5064CI/5054|TK8555K|K|Original</v>
      </c>
      <c r="K59" s="2">
        <v>3</v>
      </c>
      <c r="L59" s="2">
        <f>tblStock[[#This Row],[Stock_total_31_12_2025
Vendargues]]*tblStock[[#This Row],[Prix achat HT]]</f>
        <v>225</v>
      </c>
      <c r="M59" s="2">
        <v>1</v>
      </c>
      <c r="N59" s="2">
        <f>SUMIFS(tblSorties[Quantité],tblSorties[Cleprix],tblStock[[#This Row],[ClePrix]])</f>
        <v>1</v>
      </c>
      <c r="O59" s="2">
        <f>tblStock[[#This Row],[Stock_total_31_12_2025
Vendargues]]+tblStock[[#This Row],[Entrees_2026]]-tblStock[[#This Row],[Sorties_2026]]</f>
        <v>3</v>
      </c>
      <c r="P59" s="17">
        <f>tblStock[[#This Row],[Stock_Actuel]]*tblStock[[#This Row],[Prix achat HT]]</f>
        <v>225</v>
      </c>
    </row>
    <row r="60" spans="2:16" x14ac:dyDescent="0.25">
      <c r="B60" t="str">
        <f t="shared" si="1"/>
        <v>TK8555C|Original</v>
      </c>
      <c r="C60" s="2" t="s">
        <v>370</v>
      </c>
      <c r="D60" s="2" t="s">
        <v>4</v>
      </c>
      <c r="E60" s="9" t="s">
        <v>322</v>
      </c>
      <c r="F60" s="2" t="s">
        <v>332</v>
      </c>
      <c r="G60" s="7">
        <v>127.51</v>
      </c>
      <c r="H60" s="2" t="s">
        <v>512</v>
      </c>
      <c r="I60" s="2" t="s">
        <v>353</v>
      </c>
      <c r="J60" s="2" t="str">
        <f>tblStock[[#This Row],[Modele Machine]]&amp;"|"&amp;tblStock[[#This Row],[Référence]]&amp;"|"&amp;tblStock[[#This Row],[Couleur]]&amp;"|"&amp;tblStock[[#This Row],[Type (Original/Compatible)]]</f>
        <v>6054CI/5064CI/5054|TK8555C|C|Original</v>
      </c>
      <c r="K60" s="2">
        <v>2</v>
      </c>
      <c r="L60" s="2">
        <f>tblStock[[#This Row],[Stock_total_31_12_2025
Vendargues]]*tblStock[[#This Row],[Prix achat HT]]</f>
        <v>255.02</v>
      </c>
      <c r="M60" s="2"/>
      <c r="N60" s="2">
        <f>SUMIFS(tblSorties[Quantité],tblSorties[Cleprix],tblStock[[#This Row],[ClePrix]])</f>
        <v>0</v>
      </c>
      <c r="O60" s="2">
        <f>tblStock[[#This Row],[Stock_total_31_12_2025
Vendargues]]+tblStock[[#This Row],[Entrees_2026]]-tblStock[[#This Row],[Sorties_2026]]</f>
        <v>2</v>
      </c>
      <c r="P60" s="17">
        <f>tblStock[[#This Row],[Stock_Actuel]]*tblStock[[#This Row],[Prix achat HT]]</f>
        <v>255.02</v>
      </c>
    </row>
    <row r="61" spans="2:16" x14ac:dyDescent="0.25">
      <c r="B61" t="str">
        <f t="shared" si="1"/>
        <v>TK8555M|Original</v>
      </c>
      <c r="C61" s="2" t="s">
        <v>371</v>
      </c>
      <c r="D61" s="2" t="s">
        <v>4</v>
      </c>
      <c r="E61" s="9" t="s">
        <v>323</v>
      </c>
      <c r="F61" s="2" t="s">
        <v>332</v>
      </c>
      <c r="G61" s="7">
        <v>127.51</v>
      </c>
      <c r="H61" s="2" t="s">
        <v>512</v>
      </c>
      <c r="I61" s="2" t="s">
        <v>353</v>
      </c>
      <c r="J61" s="2" t="str">
        <f>tblStock[[#This Row],[Modele Machine]]&amp;"|"&amp;tblStock[[#This Row],[Référence]]&amp;"|"&amp;tblStock[[#This Row],[Couleur]]&amp;"|"&amp;tblStock[[#This Row],[Type (Original/Compatible)]]</f>
        <v>6054CI/5064CI/5054|TK8555M|M|Original</v>
      </c>
      <c r="K61" s="2">
        <v>3</v>
      </c>
      <c r="L61" s="2">
        <f>tblStock[[#This Row],[Stock_total_31_12_2025
Vendargues]]*tblStock[[#This Row],[Prix achat HT]]</f>
        <v>382.53000000000003</v>
      </c>
      <c r="M61" s="2"/>
      <c r="N61" s="2">
        <f>SUMIFS(tblSorties[Quantité],tblSorties[Cleprix],tblStock[[#This Row],[ClePrix]])</f>
        <v>1</v>
      </c>
      <c r="O61" s="2">
        <f>tblStock[[#This Row],[Stock_total_31_12_2025
Vendargues]]+tblStock[[#This Row],[Entrees_2026]]-tblStock[[#This Row],[Sorties_2026]]</f>
        <v>2</v>
      </c>
      <c r="P61" s="17">
        <f>tblStock[[#This Row],[Stock_Actuel]]*tblStock[[#This Row],[Prix achat HT]]</f>
        <v>255.02</v>
      </c>
    </row>
    <row r="62" spans="2:16" x14ac:dyDescent="0.25">
      <c r="B62" t="str">
        <f t="shared" si="1"/>
        <v>TK8555Y|Original</v>
      </c>
      <c r="C62" s="2" t="s">
        <v>372</v>
      </c>
      <c r="D62" s="2" t="s">
        <v>4</v>
      </c>
      <c r="E62" s="9" t="s">
        <v>324</v>
      </c>
      <c r="F62" s="2" t="s">
        <v>332</v>
      </c>
      <c r="G62" s="7">
        <v>127.51</v>
      </c>
      <c r="H62" s="2" t="s">
        <v>512</v>
      </c>
      <c r="I62" s="2" t="s">
        <v>353</v>
      </c>
      <c r="J62" s="2" t="str">
        <f>tblStock[[#This Row],[Modele Machine]]&amp;"|"&amp;tblStock[[#This Row],[Référence]]&amp;"|"&amp;tblStock[[#This Row],[Couleur]]&amp;"|"&amp;tblStock[[#This Row],[Type (Original/Compatible)]]</f>
        <v>6054CI/5064CI/5054|TK8555Y|Y|Original</v>
      </c>
      <c r="K62" s="2">
        <v>2</v>
      </c>
      <c r="L62" s="2">
        <f>tblStock[[#This Row],[Stock_total_31_12_2025
Vendargues]]*tblStock[[#This Row],[Prix achat HT]]</f>
        <v>255.02</v>
      </c>
      <c r="M62" s="2"/>
      <c r="N62" s="2">
        <f>SUMIFS(tblSorties[Quantité],tblSorties[Cleprix],tblStock[[#This Row],[ClePrix]])</f>
        <v>0</v>
      </c>
      <c r="O62" s="2">
        <f>tblStock[[#This Row],[Stock_total_31_12_2025
Vendargues]]+tblStock[[#This Row],[Entrees_2026]]-tblStock[[#This Row],[Sorties_2026]]</f>
        <v>2</v>
      </c>
      <c r="P62" s="17">
        <f>tblStock[[#This Row],[Stock_Actuel]]*tblStock[[#This Row],[Prix achat HT]]</f>
        <v>255.02</v>
      </c>
    </row>
    <row r="63" spans="2:16" x14ac:dyDescent="0.25">
      <c r="B63" t="str">
        <f t="shared" si="1"/>
        <v>TK8365K|Compatible</v>
      </c>
      <c r="C63" s="2" t="s">
        <v>373</v>
      </c>
      <c r="D63" s="2" t="s">
        <v>5</v>
      </c>
      <c r="E63" s="9" t="s">
        <v>320</v>
      </c>
      <c r="F63" s="2" t="s">
        <v>321</v>
      </c>
      <c r="G63" s="7">
        <v>37.35</v>
      </c>
      <c r="H63" s="2" t="s">
        <v>448</v>
      </c>
      <c r="I63" s="2" t="s">
        <v>353</v>
      </c>
      <c r="J63" s="2" t="str">
        <f>tblStock[[#This Row],[Modele Machine]]&amp;"|"&amp;tblStock[[#This Row],[Référence]]&amp;"|"&amp;tblStock[[#This Row],[Couleur]]&amp;"|"&amp;tblStock[[#This Row],[Type (Original/Compatible)]]</f>
        <v>2554Ci|TK8365K|K|Compatible</v>
      </c>
      <c r="K63" s="2">
        <v>1</v>
      </c>
      <c r="L63" s="2">
        <f>tblStock[[#This Row],[Stock_total_31_12_2025
Vendargues]]*tblStock[[#This Row],[Prix achat HT]]</f>
        <v>37.35</v>
      </c>
      <c r="M63" s="2">
        <v>1</v>
      </c>
      <c r="N63" s="2">
        <f>SUMIFS(tblSorties[Quantité],tblSorties[Cleprix],tblStock[[#This Row],[ClePrix]])</f>
        <v>0</v>
      </c>
      <c r="O63" s="2">
        <f>tblStock[[#This Row],[Stock_total_31_12_2025
Vendargues]]+tblStock[[#This Row],[Entrees_2026]]-tblStock[[#This Row],[Sorties_2026]]</f>
        <v>2</v>
      </c>
      <c r="P63" s="17">
        <f>tblStock[[#This Row],[Stock_Actuel]]*tblStock[[#This Row],[Prix achat HT]]</f>
        <v>74.7</v>
      </c>
    </row>
    <row r="64" spans="2:16" x14ac:dyDescent="0.25">
      <c r="B64" t="str">
        <f t="shared" si="1"/>
        <v>TK8365C|Compatible</v>
      </c>
      <c r="C64" s="2" t="s">
        <v>374</v>
      </c>
      <c r="D64" s="2" t="s">
        <v>5</v>
      </c>
      <c r="E64" s="9" t="s">
        <v>322</v>
      </c>
      <c r="F64" s="2" t="s">
        <v>321</v>
      </c>
      <c r="G64" s="7">
        <v>39.5</v>
      </c>
      <c r="H64" s="2" t="s">
        <v>448</v>
      </c>
      <c r="I64" s="2" t="s">
        <v>353</v>
      </c>
      <c r="J64" s="2" t="str">
        <f>tblStock[[#This Row],[Modele Machine]]&amp;"|"&amp;tblStock[[#This Row],[Référence]]&amp;"|"&amp;tblStock[[#This Row],[Couleur]]&amp;"|"&amp;tblStock[[#This Row],[Type (Original/Compatible)]]</f>
        <v>2554Ci|TK8365C|C|Compatible</v>
      </c>
      <c r="K64" s="2">
        <v>1</v>
      </c>
      <c r="L64" s="2">
        <f>tblStock[[#This Row],[Stock_total_31_12_2025
Vendargues]]*tblStock[[#This Row],[Prix achat HT]]</f>
        <v>39.5</v>
      </c>
      <c r="M64" s="2"/>
      <c r="N64" s="2">
        <f>SUMIFS(tblSorties[Quantité],tblSorties[Cleprix],tblStock[[#This Row],[ClePrix]])</f>
        <v>0</v>
      </c>
      <c r="O64" s="2">
        <f>tblStock[[#This Row],[Stock_total_31_12_2025
Vendargues]]+tblStock[[#This Row],[Entrees_2026]]-tblStock[[#This Row],[Sorties_2026]]</f>
        <v>1</v>
      </c>
      <c r="P64" s="17">
        <f>tblStock[[#This Row],[Stock_Actuel]]*tblStock[[#This Row],[Prix achat HT]]</f>
        <v>39.5</v>
      </c>
    </row>
    <row r="65" spans="2:16" x14ac:dyDescent="0.25">
      <c r="B65" t="str">
        <f t="shared" si="1"/>
        <v>TK8365M|Compatible</v>
      </c>
      <c r="C65" s="2" t="s">
        <v>375</v>
      </c>
      <c r="D65" s="2" t="s">
        <v>5</v>
      </c>
      <c r="E65" s="9" t="s">
        <v>323</v>
      </c>
      <c r="F65" s="2" t="s">
        <v>321</v>
      </c>
      <c r="G65" s="7">
        <v>39.5</v>
      </c>
      <c r="H65" s="2" t="s">
        <v>448</v>
      </c>
      <c r="I65" s="2" t="s">
        <v>353</v>
      </c>
      <c r="J65" s="2" t="str">
        <f>tblStock[[#This Row],[Modele Machine]]&amp;"|"&amp;tblStock[[#This Row],[Référence]]&amp;"|"&amp;tblStock[[#This Row],[Couleur]]&amp;"|"&amp;tblStock[[#This Row],[Type (Original/Compatible)]]</f>
        <v>2554Ci|TK8365M|M|Compatible</v>
      </c>
      <c r="K65" s="2">
        <v>1</v>
      </c>
      <c r="L65" s="2">
        <f>tblStock[[#This Row],[Stock_total_31_12_2025
Vendargues]]*tblStock[[#This Row],[Prix achat HT]]</f>
        <v>39.5</v>
      </c>
      <c r="M65" s="2"/>
      <c r="N65" s="2">
        <f>SUMIFS(tblSorties[Quantité],tblSorties[Cleprix],tblStock[[#This Row],[ClePrix]])</f>
        <v>0</v>
      </c>
      <c r="O65" s="2">
        <f>tblStock[[#This Row],[Stock_total_31_12_2025
Vendargues]]+tblStock[[#This Row],[Entrees_2026]]-tblStock[[#This Row],[Sorties_2026]]</f>
        <v>1</v>
      </c>
      <c r="P65" s="17">
        <f>tblStock[[#This Row],[Stock_Actuel]]*tblStock[[#This Row],[Prix achat HT]]</f>
        <v>39.5</v>
      </c>
    </row>
    <row r="66" spans="2:16" x14ac:dyDescent="0.25">
      <c r="B66" t="str">
        <f t="shared" si="1"/>
        <v>TK8365Y|Compatible</v>
      </c>
      <c r="C66" s="2" t="s">
        <v>376</v>
      </c>
      <c r="D66" s="2" t="s">
        <v>5</v>
      </c>
      <c r="E66" s="9" t="s">
        <v>324</v>
      </c>
      <c r="F66" s="2" t="s">
        <v>321</v>
      </c>
      <c r="G66" s="7">
        <v>39.5</v>
      </c>
      <c r="H66" s="2" t="s">
        <v>448</v>
      </c>
      <c r="I66" s="2" t="s">
        <v>353</v>
      </c>
      <c r="J66" s="2" t="str">
        <f>tblStock[[#This Row],[Modele Machine]]&amp;"|"&amp;tblStock[[#This Row],[Référence]]&amp;"|"&amp;tblStock[[#This Row],[Couleur]]&amp;"|"&amp;tblStock[[#This Row],[Type (Original/Compatible)]]</f>
        <v>2554Ci|TK8365Y|Y|Compatible</v>
      </c>
      <c r="K66" s="2">
        <v>1</v>
      </c>
      <c r="L66" s="2">
        <f>tblStock[[#This Row],[Stock_total_31_12_2025
Vendargues]]*tblStock[[#This Row],[Prix achat HT]]</f>
        <v>39.5</v>
      </c>
      <c r="M66" s="2"/>
      <c r="N66" s="2">
        <f>SUMIFS(tblSorties[Quantité],tblSorties[Cleprix],tblStock[[#This Row],[ClePrix]])</f>
        <v>0</v>
      </c>
      <c r="O66" s="2">
        <f>tblStock[[#This Row],[Stock_total_31_12_2025
Vendargues]]+tblStock[[#This Row],[Entrees_2026]]-tblStock[[#This Row],[Sorties_2026]]</f>
        <v>1</v>
      </c>
      <c r="P66" s="17">
        <f>tblStock[[#This Row],[Stock_Actuel]]*tblStock[[#This Row],[Prix achat HT]]</f>
        <v>39.5</v>
      </c>
    </row>
    <row r="67" spans="2:16" x14ac:dyDescent="0.25">
      <c r="B67" t="str">
        <f t="shared" ref="B67:B94" si="2">C67&amp;"|"&amp;D67</f>
        <v>TK5205K|Compatible</v>
      </c>
      <c r="C67" s="2" t="s">
        <v>377</v>
      </c>
      <c r="D67" s="2" t="s">
        <v>5</v>
      </c>
      <c r="E67" s="9" t="s">
        <v>320</v>
      </c>
      <c r="F67" s="2" t="s">
        <v>321</v>
      </c>
      <c r="G67" s="7">
        <v>28.35</v>
      </c>
      <c r="H67" s="2" t="s">
        <v>435</v>
      </c>
      <c r="I67" s="2" t="s">
        <v>353</v>
      </c>
      <c r="J67" s="2" t="str">
        <f>tblStock[[#This Row],[Modele Machine]]&amp;"|"&amp;tblStock[[#This Row],[Référence]]&amp;"|"&amp;tblStock[[#This Row],[Couleur]]&amp;"|"&amp;tblStock[[#This Row],[Type (Original/Compatible)]]</f>
        <v>356Ci|TK5205K|K|Compatible</v>
      </c>
      <c r="K67" s="2">
        <v>0</v>
      </c>
      <c r="L67" s="2">
        <f>tblStock[[#This Row],[Stock_total_31_12_2025
Vendargues]]*tblStock[[#This Row],[Prix achat HT]]</f>
        <v>0</v>
      </c>
      <c r="M67" s="2">
        <v>2</v>
      </c>
      <c r="N67" s="2">
        <f>SUMIFS(tblSorties[Quantité],tblSorties[Cleprix],tblStock[[#This Row],[ClePrix]])</f>
        <v>0</v>
      </c>
      <c r="O67" s="2">
        <f>tblStock[[#This Row],[Stock_total_31_12_2025
Vendargues]]+tblStock[[#This Row],[Entrees_2026]]-tblStock[[#This Row],[Sorties_2026]]</f>
        <v>2</v>
      </c>
      <c r="P67" s="17">
        <f>tblStock[[#This Row],[Stock_Actuel]]*tblStock[[#This Row],[Prix achat HT]]</f>
        <v>56.7</v>
      </c>
    </row>
    <row r="68" spans="2:16" x14ac:dyDescent="0.25">
      <c r="B68" t="str">
        <f t="shared" si="2"/>
        <v>TK5205C|Compatible</v>
      </c>
      <c r="C68" s="2" t="s">
        <v>378</v>
      </c>
      <c r="D68" s="2" t="s">
        <v>5</v>
      </c>
      <c r="E68" s="9" t="s">
        <v>322</v>
      </c>
      <c r="F68" s="2" t="s">
        <v>321</v>
      </c>
      <c r="G68" s="7">
        <v>38.5</v>
      </c>
      <c r="H68" s="2" t="s">
        <v>435</v>
      </c>
      <c r="I68" s="2" t="s">
        <v>353</v>
      </c>
      <c r="J68" s="2" t="str">
        <f>tblStock[[#This Row],[Modele Machine]]&amp;"|"&amp;tblStock[[#This Row],[Référence]]&amp;"|"&amp;tblStock[[#This Row],[Couleur]]&amp;"|"&amp;tblStock[[#This Row],[Type (Original/Compatible)]]</f>
        <v>356Ci|TK5205C|C|Compatible</v>
      </c>
      <c r="K68" s="2">
        <v>1</v>
      </c>
      <c r="L68" s="2">
        <f>tblStock[[#This Row],[Stock_total_31_12_2025
Vendargues]]*tblStock[[#This Row],[Prix achat HT]]</f>
        <v>38.5</v>
      </c>
      <c r="M68" s="2"/>
      <c r="N68" s="2">
        <f>SUMIFS(tblSorties[Quantité],tblSorties[Cleprix],tblStock[[#This Row],[ClePrix]])</f>
        <v>0</v>
      </c>
      <c r="O68" s="2">
        <f>tblStock[[#This Row],[Stock_total_31_12_2025
Vendargues]]+tblStock[[#This Row],[Entrees_2026]]-tblStock[[#This Row],[Sorties_2026]]</f>
        <v>1</v>
      </c>
      <c r="P68" s="17">
        <f>tblStock[[#This Row],[Stock_Actuel]]*tblStock[[#This Row],[Prix achat HT]]</f>
        <v>38.5</v>
      </c>
    </row>
    <row r="69" spans="2:16" x14ac:dyDescent="0.25">
      <c r="B69" t="str">
        <f t="shared" si="2"/>
        <v>TK5205M|Compatible</v>
      </c>
      <c r="C69" s="2" t="s">
        <v>379</v>
      </c>
      <c r="D69" s="2" t="s">
        <v>5</v>
      </c>
      <c r="E69" s="9" t="s">
        <v>323</v>
      </c>
      <c r="F69" s="2" t="s">
        <v>321</v>
      </c>
      <c r="G69" s="7">
        <v>38.5</v>
      </c>
      <c r="H69" s="2" t="s">
        <v>435</v>
      </c>
      <c r="I69" s="2" t="s">
        <v>353</v>
      </c>
      <c r="J69" s="2" t="str">
        <f>tblStock[[#This Row],[Modele Machine]]&amp;"|"&amp;tblStock[[#This Row],[Référence]]&amp;"|"&amp;tblStock[[#This Row],[Couleur]]&amp;"|"&amp;tblStock[[#This Row],[Type (Original/Compatible)]]</f>
        <v>356Ci|TK5205M|M|Compatible</v>
      </c>
      <c r="K69" s="2">
        <v>2</v>
      </c>
      <c r="L69" s="2">
        <f>tblStock[[#This Row],[Stock_total_31_12_2025
Vendargues]]*tblStock[[#This Row],[Prix achat HT]]</f>
        <v>77</v>
      </c>
      <c r="M69" s="2"/>
      <c r="N69" s="2">
        <f>SUMIFS(tblSorties[Quantité],tblSorties[Cleprix],tblStock[[#This Row],[ClePrix]])</f>
        <v>1</v>
      </c>
      <c r="O69" s="2">
        <f>tblStock[[#This Row],[Stock_total_31_12_2025
Vendargues]]+tblStock[[#This Row],[Entrees_2026]]-tblStock[[#This Row],[Sorties_2026]]</f>
        <v>1</v>
      </c>
      <c r="P69" s="17">
        <f>tblStock[[#This Row],[Stock_Actuel]]*tblStock[[#This Row],[Prix achat HT]]</f>
        <v>38.5</v>
      </c>
    </row>
    <row r="70" spans="2:16" x14ac:dyDescent="0.25">
      <c r="B70" t="str">
        <f t="shared" si="2"/>
        <v>TK5205Y|Compatible</v>
      </c>
      <c r="C70" s="2" t="s">
        <v>380</v>
      </c>
      <c r="D70" s="2" t="s">
        <v>5</v>
      </c>
      <c r="E70" s="9" t="s">
        <v>324</v>
      </c>
      <c r="F70" s="2" t="s">
        <v>321</v>
      </c>
      <c r="G70" s="7">
        <v>38.5</v>
      </c>
      <c r="H70" s="2" t="s">
        <v>435</v>
      </c>
      <c r="I70" s="2" t="s">
        <v>353</v>
      </c>
      <c r="J70" s="2" t="str">
        <f>tblStock[[#This Row],[Modele Machine]]&amp;"|"&amp;tblStock[[#This Row],[Référence]]&amp;"|"&amp;tblStock[[#This Row],[Couleur]]&amp;"|"&amp;tblStock[[#This Row],[Type (Original/Compatible)]]</f>
        <v>356Ci|TK5205Y|Y|Compatible</v>
      </c>
      <c r="K70" s="2">
        <v>1</v>
      </c>
      <c r="L70" s="2">
        <f>tblStock[[#This Row],[Stock_total_31_12_2025
Vendargues]]*tblStock[[#This Row],[Prix achat HT]]</f>
        <v>38.5</v>
      </c>
      <c r="M70" s="2"/>
      <c r="N70" s="2">
        <f>SUMIFS(tblSorties[Quantité],tblSorties[Cleprix],tblStock[[#This Row],[ClePrix]])</f>
        <v>0</v>
      </c>
      <c r="O70" s="2">
        <f>tblStock[[#This Row],[Stock_total_31_12_2025
Vendargues]]+tblStock[[#This Row],[Entrees_2026]]-tblStock[[#This Row],[Sorties_2026]]</f>
        <v>1</v>
      </c>
      <c r="P70" s="17">
        <f>tblStock[[#This Row],[Stock_Actuel]]*tblStock[[#This Row],[Prix achat HT]]</f>
        <v>38.5</v>
      </c>
    </row>
    <row r="71" spans="2:16" x14ac:dyDescent="0.25">
      <c r="B71" t="str">
        <f t="shared" si="2"/>
        <v>TK8335K|Compatible</v>
      </c>
      <c r="C71" s="2" t="s">
        <v>505</v>
      </c>
      <c r="D71" s="2" t="s">
        <v>5</v>
      </c>
      <c r="E71" s="9" t="s">
        <v>320</v>
      </c>
      <c r="F71" s="2" t="s">
        <v>321</v>
      </c>
      <c r="G71" s="7">
        <v>36.5</v>
      </c>
      <c r="H71" s="2" t="s">
        <v>508</v>
      </c>
      <c r="I71" s="2" t="s">
        <v>353</v>
      </c>
      <c r="J71" s="2" t="str">
        <f>tblStock[[#This Row],[Modele Machine]]&amp;"|"&amp;tblStock[[#This Row],[Référence]]&amp;"|"&amp;tblStock[[#This Row],[Couleur]]&amp;"|"&amp;tblStock[[#This Row],[Type (Original/Compatible)]]</f>
        <v>3252/3253Ci|TK8335K|K|Compatible</v>
      </c>
      <c r="K71" s="2">
        <v>4</v>
      </c>
      <c r="L71" s="2">
        <f>tblStock[[#This Row],[Stock_total_31_12_2025
Vendargues]]*tblStock[[#This Row],[Prix achat HT]]</f>
        <v>146</v>
      </c>
      <c r="M71" s="2">
        <v>2</v>
      </c>
      <c r="N71" s="2">
        <f>SUMIFS(tblSorties[Quantité],tblSorties[Cleprix],tblStock[[#This Row],[ClePrix]])</f>
        <v>2</v>
      </c>
      <c r="O71" s="2">
        <f>tblStock[[#This Row],[Stock_total_31_12_2025
Vendargues]]+tblStock[[#This Row],[Entrees_2026]]-tblStock[[#This Row],[Sorties_2026]]</f>
        <v>4</v>
      </c>
      <c r="P71" s="17">
        <f>tblStock[[#This Row],[Stock_Actuel]]*tblStock[[#This Row],[Prix achat HT]]</f>
        <v>146</v>
      </c>
    </row>
    <row r="72" spans="2:16" x14ac:dyDescent="0.25">
      <c r="B72" t="str">
        <f t="shared" si="2"/>
        <v>TK8335C|Compatible</v>
      </c>
      <c r="C72" s="2" t="s">
        <v>502</v>
      </c>
      <c r="D72" s="2" t="s">
        <v>5</v>
      </c>
      <c r="E72" s="9" t="s">
        <v>322</v>
      </c>
      <c r="F72" s="2" t="s">
        <v>321</v>
      </c>
      <c r="G72" s="7">
        <v>39.5</v>
      </c>
      <c r="H72" s="2" t="s">
        <v>508</v>
      </c>
      <c r="I72" s="2" t="s">
        <v>353</v>
      </c>
      <c r="J72" s="2" t="str">
        <f>tblStock[[#This Row],[Modele Machine]]&amp;"|"&amp;tblStock[[#This Row],[Référence]]&amp;"|"&amp;tblStock[[#This Row],[Couleur]]&amp;"|"&amp;tblStock[[#This Row],[Type (Original/Compatible)]]</f>
        <v>3252/3253Ci|TK8335C|C|Compatible</v>
      </c>
      <c r="K72" s="2">
        <v>1</v>
      </c>
      <c r="L72" s="2">
        <f>tblStock[[#This Row],[Stock_total_31_12_2025
Vendargues]]*tblStock[[#This Row],[Prix achat HT]]</f>
        <v>39.5</v>
      </c>
      <c r="M72" s="2"/>
      <c r="N72" s="2">
        <f>SUMIFS(tblSorties[Quantité],tblSorties[Cleprix],tblStock[[#This Row],[ClePrix]])</f>
        <v>1</v>
      </c>
      <c r="O72" s="2">
        <f>tblStock[[#This Row],[Stock_total_31_12_2025
Vendargues]]+tblStock[[#This Row],[Entrees_2026]]-tblStock[[#This Row],[Sorties_2026]]</f>
        <v>0</v>
      </c>
      <c r="P72" s="17">
        <f>tblStock[[#This Row],[Stock_Actuel]]*tblStock[[#This Row],[Prix achat HT]]</f>
        <v>0</v>
      </c>
    </row>
    <row r="73" spans="2:16" x14ac:dyDescent="0.25">
      <c r="B73" t="str">
        <f t="shared" si="2"/>
        <v>TK8335M|Compatible</v>
      </c>
      <c r="C73" s="2" t="s">
        <v>503</v>
      </c>
      <c r="D73" s="2" t="s">
        <v>5</v>
      </c>
      <c r="E73" s="9" t="s">
        <v>323</v>
      </c>
      <c r="F73" s="2" t="s">
        <v>321</v>
      </c>
      <c r="G73" s="7">
        <v>39.5</v>
      </c>
      <c r="H73" s="2" t="s">
        <v>508</v>
      </c>
      <c r="I73" s="2" t="s">
        <v>353</v>
      </c>
      <c r="J73" s="2" t="str">
        <f>tblStock[[#This Row],[Modele Machine]]&amp;"|"&amp;tblStock[[#This Row],[Référence]]&amp;"|"&amp;tblStock[[#This Row],[Couleur]]&amp;"|"&amp;tblStock[[#This Row],[Type (Original/Compatible)]]</f>
        <v>3252/3253Ci|TK8335M|M|Compatible</v>
      </c>
      <c r="K73" s="2">
        <v>5</v>
      </c>
      <c r="L73" s="2">
        <f>tblStock[[#This Row],[Stock_total_31_12_2025
Vendargues]]*tblStock[[#This Row],[Prix achat HT]]</f>
        <v>197.5</v>
      </c>
      <c r="M73" s="2"/>
      <c r="N73" s="2">
        <f>SUMIFS(tblSorties[Quantité],tblSorties[Cleprix],tblStock[[#This Row],[ClePrix]])</f>
        <v>3</v>
      </c>
      <c r="O73" s="2">
        <f>tblStock[[#This Row],[Stock_total_31_12_2025
Vendargues]]+tblStock[[#This Row],[Entrees_2026]]-tblStock[[#This Row],[Sorties_2026]]</f>
        <v>2</v>
      </c>
      <c r="P73" s="17">
        <f>tblStock[[#This Row],[Stock_Actuel]]*tblStock[[#This Row],[Prix achat HT]]</f>
        <v>79</v>
      </c>
    </row>
    <row r="74" spans="2:16" x14ac:dyDescent="0.25">
      <c r="B74" t="str">
        <f t="shared" si="2"/>
        <v>TK8335Y|Compatible</v>
      </c>
      <c r="C74" s="2" t="s">
        <v>504</v>
      </c>
      <c r="D74" s="2" t="s">
        <v>5</v>
      </c>
      <c r="E74" s="9" t="s">
        <v>324</v>
      </c>
      <c r="F74" s="2" t="s">
        <v>321</v>
      </c>
      <c r="G74" s="7">
        <v>39.5</v>
      </c>
      <c r="H74" s="2" t="s">
        <v>508</v>
      </c>
      <c r="I74" s="2" t="s">
        <v>353</v>
      </c>
      <c r="J74" s="2" t="str">
        <f>tblStock[[#This Row],[Modele Machine]]&amp;"|"&amp;tblStock[[#This Row],[Référence]]&amp;"|"&amp;tblStock[[#This Row],[Couleur]]&amp;"|"&amp;tblStock[[#This Row],[Type (Original/Compatible)]]</f>
        <v>3252/3253Ci|TK8335Y|Y|Compatible</v>
      </c>
      <c r="K74" s="2">
        <v>4</v>
      </c>
      <c r="L74" s="2">
        <f>tblStock[[#This Row],[Stock_total_31_12_2025
Vendargues]]*tblStock[[#This Row],[Prix achat HT]]</f>
        <v>158</v>
      </c>
      <c r="M74" s="2"/>
      <c r="N74" s="2">
        <f>SUMIFS(tblSorties[Quantité],tblSorties[Cleprix],tblStock[[#This Row],[ClePrix]])</f>
        <v>2</v>
      </c>
      <c r="O74" s="2">
        <f>tblStock[[#This Row],[Stock_total_31_12_2025
Vendargues]]+tblStock[[#This Row],[Entrees_2026]]-tblStock[[#This Row],[Sorties_2026]]</f>
        <v>2</v>
      </c>
      <c r="P74" s="17">
        <f>tblStock[[#This Row],[Stock_Actuel]]*tblStock[[#This Row],[Prix achat HT]]</f>
        <v>79</v>
      </c>
    </row>
    <row r="75" spans="2:16" x14ac:dyDescent="0.25">
      <c r="B75" t="str">
        <f t="shared" si="2"/>
        <v>TK5240K|Compatible</v>
      </c>
      <c r="C75" s="2" t="s">
        <v>381</v>
      </c>
      <c r="D75" s="2" t="s">
        <v>5</v>
      </c>
      <c r="E75" s="9" t="s">
        <v>320</v>
      </c>
      <c r="F75" s="2" t="s">
        <v>321</v>
      </c>
      <c r="G75" s="7">
        <v>23.3</v>
      </c>
      <c r="H75" s="2" t="s">
        <v>501</v>
      </c>
      <c r="I75" s="2" t="s">
        <v>353</v>
      </c>
      <c r="J75" s="2" t="str">
        <f>tblStock[[#This Row],[Modele Machine]]&amp;"|"&amp;tblStock[[#This Row],[Référence]]&amp;"|"&amp;tblStock[[#This Row],[Couleur]]&amp;"|"&amp;tblStock[[#This Row],[Type (Original/Compatible)]]</f>
        <v>M5526C/D|TK5240K|K|Compatible</v>
      </c>
      <c r="K75" s="2">
        <v>16</v>
      </c>
      <c r="L75" s="2">
        <f>tblStock[[#This Row],[Stock_total_31_12_2025
Vendargues]]*tblStock[[#This Row],[Prix achat HT]]</f>
        <v>372.8</v>
      </c>
      <c r="M75" s="2"/>
      <c r="N75" s="2">
        <f>SUMIFS(tblSorties[Quantité],tblSorties[Cleprix],tblStock[[#This Row],[ClePrix]])</f>
        <v>6</v>
      </c>
      <c r="O75" s="2">
        <f>tblStock[[#This Row],[Stock_total_31_12_2025
Vendargues]]+tblStock[[#This Row],[Entrees_2026]]-tblStock[[#This Row],[Sorties_2026]]</f>
        <v>10</v>
      </c>
      <c r="P75" s="17">
        <f>tblStock[[#This Row],[Stock_Actuel]]*tblStock[[#This Row],[Prix achat HT]]</f>
        <v>233</v>
      </c>
    </row>
    <row r="76" spans="2:16" x14ac:dyDescent="0.25">
      <c r="B76" t="str">
        <f t="shared" si="2"/>
        <v>TK5240C|Compatible</v>
      </c>
      <c r="C76" s="2" t="s">
        <v>382</v>
      </c>
      <c r="D76" s="2" t="s">
        <v>5</v>
      </c>
      <c r="E76" s="9" t="s">
        <v>322</v>
      </c>
      <c r="F76" s="2" t="s">
        <v>321</v>
      </c>
      <c r="G76" s="7">
        <v>30.3</v>
      </c>
      <c r="H76" s="2" t="s">
        <v>501</v>
      </c>
      <c r="I76" s="2" t="s">
        <v>353</v>
      </c>
      <c r="J76" s="2" t="str">
        <f>tblStock[[#This Row],[Modele Machine]]&amp;"|"&amp;tblStock[[#This Row],[Référence]]&amp;"|"&amp;tblStock[[#This Row],[Couleur]]&amp;"|"&amp;tblStock[[#This Row],[Type (Original/Compatible)]]</f>
        <v>M5526C/D|TK5240C|C|Compatible</v>
      </c>
      <c r="K76" s="2">
        <v>12</v>
      </c>
      <c r="L76" s="2">
        <f>tblStock[[#This Row],[Stock_total_31_12_2025
Vendargues]]*tblStock[[#This Row],[Prix achat HT]]</f>
        <v>363.6</v>
      </c>
      <c r="M76" s="2"/>
      <c r="N76" s="2">
        <f>SUMIFS(tblSorties[Quantité],tblSorties[Cleprix],tblStock[[#This Row],[ClePrix]])</f>
        <v>7</v>
      </c>
      <c r="O76" s="2">
        <f>tblStock[[#This Row],[Stock_total_31_12_2025
Vendargues]]+tblStock[[#This Row],[Entrees_2026]]-tblStock[[#This Row],[Sorties_2026]]</f>
        <v>5</v>
      </c>
      <c r="P76" s="17">
        <f>tblStock[[#This Row],[Stock_Actuel]]*tblStock[[#This Row],[Prix achat HT]]</f>
        <v>151.5</v>
      </c>
    </row>
    <row r="77" spans="2:16" x14ac:dyDescent="0.25">
      <c r="B77" t="str">
        <f t="shared" si="2"/>
        <v>TK5240M|Compatible</v>
      </c>
      <c r="C77" s="2" t="s">
        <v>383</v>
      </c>
      <c r="D77" s="2" t="s">
        <v>5</v>
      </c>
      <c r="E77" s="9" t="s">
        <v>323</v>
      </c>
      <c r="F77" s="2" t="s">
        <v>321</v>
      </c>
      <c r="G77" s="7">
        <v>30.3</v>
      </c>
      <c r="H77" s="2" t="s">
        <v>501</v>
      </c>
      <c r="I77" s="2" t="s">
        <v>353</v>
      </c>
      <c r="J77" s="2" t="str">
        <f>tblStock[[#This Row],[Modele Machine]]&amp;"|"&amp;tblStock[[#This Row],[Référence]]&amp;"|"&amp;tblStock[[#This Row],[Couleur]]&amp;"|"&amp;tblStock[[#This Row],[Type (Original/Compatible)]]</f>
        <v>M5526C/D|TK5240M|M|Compatible</v>
      </c>
      <c r="K77" s="2">
        <v>8</v>
      </c>
      <c r="L77" s="2">
        <f>tblStock[[#This Row],[Stock_total_31_12_2025
Vendargues]]*tblStock[[#This Row],[Prix achat HT]]</f>
        <v>242.4</v>
      </c>
      <c r="M77" s="2">
        <v>2</v>
      </c>
      <c r="N77" s="2">
        <f>SUMIFS(tblSorties[Quantité],tblSorties[Cleprix],tblStock[[#This Row],[ClePrix]])</f>
        <v>4</v>
      </c>
      <c r="O77" s="2">
        <f>tblStock[[#This Row],[Stock_total_31_12_2025
Vendargues]]+tblStock[[#This Row],[Entrees_2026]]-tblStock[[#This Row],[Sorties_2026]]</f>
        <v>6</v>
      </c>
      <c r="P77" s="17">
        <f>tblStock[[#This Row],[Stock_Actuel]]*tblStock[[#This Row],[Prix achat HT]]</f>
        <v>181.8</v>
      </c>
    </row>
    <row r="78" spans="2:16" x14ac:dyDescent="0.25">
      <c r="B78" t="str">
        <f t="shared" si="2"/>
        <v>TK5240Y|Compatible</v>
      </c>
      <c r="C78" s="2" t="s">
        <v>384</v>
      </c>
      <c r="D78" s="2" t="s">
        <v>5</v>
      </c>
      <c r="E78" s="9" t="s">
        <v>324</v>
      </c>
      <c r="F78" s="2" t="s">
        <v>321</v>
      </c>
      <c r="G78" s="7">
        <v>30.3</v>
      </c>
      <c r="H78" s="2" t="s">
        <v>501</v>
      </c>
      <c r="I78" s="2" t="s">
        <v>353</v>
      </c>
      <c r="J78" s="2" t="str">
        <f>tblStock[[#This Row],[Modele Machine]]&amp;"|"&amp;tblStock[[#This Row],[Référence]]&amp;"|"&amp;tblStock[[#This Row],[Couleur]]&amp;"|"&amp;tblStock[[#This Row],[Type (Original/Compatible)]]</f>
        <v>M5526C/D|TK5240Y|Y|Compatible</v>
      </c>
      <c r="K78" s="2">
        <v>8</v>
      </c>
      <c r="L78" s="2">
        <f>tblStock[[#This Row],[Stock_total_31_12_2025
Vendargues]]*tblStock[[#This Row],[Prix achat HT]]</f>
        <v>242.4</v>
      </c>
      <c r="M78" s="2">
        <v>2</v>
      </c>
      <c r="N78" s="2">
        <f>SUMIFS(tblSorties[Quantité],tblSorties[Cleprix],tblStock[[#This Row],[ClePrix]])</f>
        <v>4</v>
      </c>
      <c r="O78" s="2">
        <f>tblStock[[#This Row],[Stock_total_31_12_2025
Vendargues]]+tblStock[[#This Row],[Entrees_2026]]-tblStock[[#This Row],[Sorties_2026]]</f>
        <v>6</v>
      </c>
      <c r="P78" s="17">
        <f>tblStock[[#This Row],[Stock_Actuel]]*tblStock[[#This Row],[Prix achat HT]]</f>
        <v>181.8</v>
      </c>
    </row>
    <row r="79" spans="2:16" x14ac:dyDescent="0.25">
      <c r="B79" t="str">
        <f t="shared" si="2"/>
        <v>TK8345K|Compatible</v>
      </c>
      <c r="C79" s="2" t="s">
        <v>386</v>
      </c>
      <c r="D79" s="2" t="s">
        <v>5</v>
      </c>
      <c r="E79" s="9" t="s">
        <v>320</v>
      </c>
      <c r="F79" s="2" t="s">
        <v>321</v>
      </c>
      <c r="G79" s="7">
        <v>33.4</v>
      </c>
      <c r="H79" s="2" t="s">
        <v>513</v>
      </c>
      <c r="I79" s="2" t="s">
        <v>353</v>
      </c>
      <c r="J79" s="2" t="str">
        <f>tblStock[[#This Row],[Modele Machine]]&amp;"|"&amp;tblStock[[#This Row],[Référence]]&amp;"|"&amp;tblStock[[#This Row],[Couleur]]&amp;"|"&amp;tblStock[[#This Row],[Type (Original/Compatible)]]</f>
        <v>2552Ci/2553|TK8345K|K|Compatible</v>
      </c>
      <c r="K79" s="2">
        <v>2</v>
      </c>
      <c r="L79" s="2">
        <f>tblStock[[#This Row],[Stock_total_31_12_2025
Vendargues]]*tblStock[[#This Row],[Prix achat HT]]</f>
        <v>66.8</v>
      </c>
      <c r="M79" s="2">
        <v>2</v>
      </c>
      <c r="N79" s="2">
        <f>SUMIFS(tblSorties[Quantité],tblSorties[Cleprix],tblStock[[#This Row],[ClePrix]])</f>
        <v>1</v>
      </c>
      <c r="O79" s="2">
        <f>tblStock[[#This Row],[Stock_total_31_12_2025
Vendargues]]+tblStock[[#This Row],[Entrees_2026]]-tblStock[[#This Row],[Sorties_2026]]</f>
        <v>3</v>
      </c>
      <c r="P79" s="17">
        <f>tblStock[[#This Row],[Stock_Actuel]]*tblStock[[#This Row],[Prix achat HT]]</f>
        <v>100.19999999999999</v>
      </c>
    </row>
    <row r="80" spans="2:16" x14ac:dyDescent="0.25">
      <c r="B80" t="str">
        <f t="shared" si="2"/>
        <v>TK8345C|Compatible</v>
      </c>
      <c r="C80" s="2" t="s">
        <v>387</v>
      </c>
      <c r="D80" s="2" t="s">
        <v>5</v>
      </c>
      <c r="E80" s="9" t="s">
        <v>322</v>
      </c>
      <c r="F80" s="2" t="s">
        <v>321</v>
      </c>
      <c r="G80" s="7">
        <v>40.4</v>
      </c>
      <c r="H80" s="2" t="s">
        <v>513</v>
      </c>
      <c r="I80" s="2" t="s">
        <v>353</v>
      </c>
      <c r="J80" s="2" t="str">
        <f>tblStock[[#This Row],[Modele Machine]]&amp;"|"&amp;tblStock[[#This Row],[Référence]]&amp;"|"&amp;tblStock[[#This Row],[Couleur]]&amp;"|"&amp;tblStock[[#This Row],[Type (Original/Compatible)]]</f>
        <v>2552Ci/2553|TK8345C|C|Compatible</v>
      </c>
      <c r="K80" s="2">
        <v>3</v>
      </c>
      <c r="L80" s="2">
        <f>tblStock[[#This Row],[Stock_total_31_12_2025
Vendargues]]*tblStock[[#This Row],[Prix achat HT]]</f>
        <v>121.19999999999999</v>
      </c>
      <c r="M80" s="2">
        <v>1</v>
      </c>
      <c r="N80" s="2">
        <f>SUMIFS(tblSorties[Quantité],tblSorties[Cleprix],tblStock[[#This Row],[ClePrix]])</f>
        <v>2</v>
      </c>
      <c r="O80" s="2">
        <f>tblStock[[#This Row],[Stock_total_31_12_2025
Vendargues]]+tblStock[[#This Row],[Entrees_2026]]-tblStock[[#This Row],[Sorties_2026]]</f>
        <v>2</v>
      </c>
      <c r="P80" s="17">
        <f>tblStock[[#This Row],[Stock_Actuel]]*tblStock[[#This Row],[Prix achat HT]]</f>
        <v>80.8</v>
      </c>
    </row>
    <row r="81" spans="2:16" x14ac:dyDescent="0.25">
      <c r="B81" t="str">
        <f t="shared" si="2"/>
        <v>TK8345M|Compatible</v>
      </c>
      <c r="C81" s="2" t="s">
        <v>388</v>
      </c>
      <c r="D81" s="2" t="s">
        <v>5</v>
      </c>
      <c r="E81" s="9" t="s">
        <v>323</v>
      </c>
      <c r="F81" s="2" t="s">
        <v>321</v>
      </c>
      <c r="G81" s="7">
        <v>40.4</v>
      </c>
      <c r="H81" s="2" t="s">
        <v>513</v>
      </c>
      <c r="I81" s="2" t="s">
        <v>353</v>
      </c>
      <c r="J81" s="2" t="str">
        <f>tblStock[[#This Row],[Modele Machine]]&amp;"|"&amp;tblStock[[#This Row],[Référence]]&amp;"|"&amp;tblStock[[#This Row],[Couleur]]&amp;"|"&amp;tblStock[[#This Row],[Type (Original/Compatible)]]</f>
        <v>2552Ci/2553|TK8345M|M|Compatible</v>
      </c>
      <c r="K81" s="2">
        <v>2</v>
      </c>
      <c r="L81" s="2">
        <f>tblStock[[#This Row],[Stock_total_31_12_2025
Vendargues]]*tblStock[[#This Row],[Prix achat HT]]</f>
        <v>80.8</v>
      </c>
      <c r="M81" s="2">
        <v>1</v>
      </c>
      <c r="N81" s="2">
        <f>SUMIFS(tblSorties[Quantité],tblSorties[Cleprix],tblStock[[#This Row],[ClePrix]])</f>
        <v>1</v>
      </c>
      <c r="O81" s="2">
        <f>tblStock[[#This Row],[Stock_total_31_12_2025
Vendargues]]+tblStock[[#This Row],[Entrees_2026]]-tblStock[[#This Row],[Sorties_2026]]</f>
        <v>2</v>
      </c>
      <c r="P81" s="17">
        <f>tblStock[[#This Row],[Stock_Actuel]]*tblStock[[#This Row],[Prix achat HT]]</f>
        <v>80.8</v>
      </c>
    </row>
    <row r="82" spans="2:16" x14ac:dyDescent="0.25">
      <c r="B82" t="str">
        <f t="shared" si="2"/>
        <v>TK8345Y|Compatible</v>
      </c>
      <c r="C82" s="2" t="s">
        <v>389</v>
      </c>
      <c r="D82" s="2" t="s">
        <v>5</v>
      </c>
      <c r="E82" s="9" t="s">
        <v>324</v>
      </c>
      <c r="F82" s="2" t="s">
        <v>321</v>
      </c>
      <c r="G82" s="7">
        <v>40.4</v>
      </c>
      <c r="H82" s="2" t="s">
        <v>513</v>
      </c>
      <c r="I82" s="2" t="s">
        <v>353</v>
      </c>
      <c r="J82" s="2" t="str">
        <f>tblStock[[#This Row],[Modele Machine]]&amp;"|"&amp;tblStock[[#This Row],[Référence]]&amp;"|"&amp;tblStock[[#This Row],[Couleur]]&amp;"|"&amp;tblStock[[#This Row],[Type (Original/Compatible)]]</f>
        <v>2552Ci/2553|TK8345Y|Y|Compatible</v>
      </c>
      <c r="K82" s="2">
        <v>2</v>
      </c>
      <c r="L82" s="2">
        <f>tblStock[[#This Row],[Stock_total_31_12_2025
Vendargues]]*tblStock[[#This Row],[Prix achat HT]]</f>
        <v>80.8</v>
      </c>
      <c r="M82" s="2">
        <v>1</v>
      </c>
      <c r="N82" s="2">
        <f>SUMIFS(tblSorties[Quantité],tblSorties[Cleprix],tblStock[[#This Row],[ClePrix]])</f>
        <v>1</v>
      </c>
      <c r="O82" s="2">
        <f>tblStock[[#This Row],[Stock_total_31_12_2025
Vendargues]]+tblStock[[#This Row],[Entrees_2026]]-tblStock[[#This Row],[Sorties_2026]]</f>
        <v>2</v>
      </c>
      <c r="P82" s="17">
        <f>tblStock[[#This Row],[Stock_Actuel]]*tblStock[[#This Row],[Prix achat HT]]</f>
        <v>80.8</v>
      </c>
    </row>
    <row r="83" spans="2:16" x14ac:dyDescent="0.25">
      <c r="B83" t="str">
        <f t="shared" si="2"/>
        <v>TK8525K|Compatible</v>
      </c>
      <c r="C83" s="2" t="s">
        <v>390</v>
      </c>
      <c r="D83" s="2" t="s">
        <v>5</v>
      </c>
      <c r="E83" s="9" t="s">
        <v>320</v>
      </c>
      <c r="F83" s="2" t="s">
        <v>321</v>
      </c>
      <c r="G83" s="7">
        <v>42.55</v>
      </c>
      <c r="H83" s="2" t="s">
        <v>507</v>
      </c>
      <c r="I83" s="2" t="s">
        <v>353</v>
      </c>
      <c r="J83" s="2" t="str">
        <f>tblStock[[#This Row],[Modele Machine]]&amp;"|"&amp;tblStock[[#This Row],[Référence]]&amp;"|"&amp;tblStock[[#This Row],[Couleur]]&amp;"|"&amp;tblStock[[#This Row],[Type (Original/Compatible)]]</f>
        <v>4052/4053Ci|TK8525K|K|Compatible</v>
      </c>
      <c r="K83" s="2">
        <v>2</v>
      </c>
      <c r="L83" s="2">
        <f>tblStock[[#This Row],[Stock_total_31_12_2025
Vendargues]]*tblStock[[#This Row],[Prix achat HT]]</f>
        <v>85.1</v>
      </c>
      <c r="M83" s="2"/>
      <c r="N83" s="2">
        <f>SUMIFS(tblSorties[Quantité],tblSorties[Cleprix],tblStock[[#This Row],[ClePrix]])</f>
        <v>1</v>
      </c>
      <c r="O83" s="2">
        <f>tblStock[[#This Row],[Stock_total_31_12_2025
Vendargues]]+tblStock[[#This Row],[Entrees_2026]]-tblStock[[#This Row],[Sorties_2026]]</f>
        <v>1</v>
      </c>
      <c r="P83" s="17">
        <f>tblStock[[#This Row],[Stock_Actuel]]*tblStock[[#This Row],[Prix achat HT]]</f>
        <v>42.55</v>
      </c>
    </row>
    <row r="84" spans="2:16" x14ac:dyDescent="0.25">
      <c r="B84" t="str">
        <f t="shared" si="2"/>
        <v>TK8525C|Compatible</v>
      </c>
      <c r="C84" s="2" t="s">
        <v>391</v>
      </c>
      <c r="D84" s="2" t="s">
        <v>5</v>
      </c>
      <c r="E84" s="9" t="s">
        <v>322</v>
      </c>
      <c r="F84" s="2" t="s">
        <v>321</v>
      </c>
      <c r="G84" s="7">
        <v>47.6</v>
      </c>
      <c r="H84" s="2" t="s">
        <v>507</v>
      </c>
      <c r="I84" s="2" t="s">
        <v>353</v>
      </c>
      <c r="J84" s="2" t="str">
        <f>tblStock[[#This Row],[Modele Machine]]&amp;"|"&amp;tblStock[[#This Row],[Référence]]&amp;"|"&amp;tblStock[[#This Row],[Couleur]]&amp;"|"&amp;tblStock[[#This Row],[Type (Original/Compatible)]]</f>
        <v>4052/4053Ci|TK8525C|C|Compatible</v>
      </c>
      <c r="K84" s="2">
        <v>1</v>
      </c>
      <c r="L84" s="2">
        <f>tblStock[[#This Row],[Stock_total_31_12_2025
Vendargues]]*tblStock[[#This Row],[Prix achat HT]]</f>
        <v>47.6</v>
      </c>
      <c r="M84" s="2"/>
      <c r="N84" s="2">
        <f>SUMIFS(tblSorties[Quantité],tblSorties[Cleprix],tblStock[[#This Row],[ClePrix]])</f>
        <v>0</v>
      </c>
      <c r="O84" s="2">
        <f>tblStock[[#This Row],[Stock_total_31_12_2025
Vendargues]]+tblStock[[#This Row],[Entrees_2026]]-tblStock[[#This Row],[Sorties_2026]]</f>
        <v>1</v>
      </c>
      <c r="P84" s="17">
        <f>tblStock[[#This Row],[Stock_Actuel]]*tblStock[[#This Row],[Prix achat HT]]</f>
        <v>47.6</v>
      </c>
    </row>
    <row r="85" spans="2:16" x14ac:dyDescent="0.25">
      <c r="B85" t="str">
        <f t="shared" si="2"/>
        <v>TK8525M|Compatible</v>
      </c>
      <c r="C85" s="2" t="s">
        <v>392</v>
      </c>
      <c r="D85" s="2" t="s">
        <v>5</v>
      </c>
      <c r="E85" s="9" t="s">
        <v>323</v>
      </c>
      <c r="F85" s="2" t="s">
        <v>321</v>
      </c>
      <c r="G85" s="7">
        <v>47.6</v>
      </c>
      <c r="H85" s="2" t="s">
        <v>507</v>
      </c>
      <c r="I85" s="2" t="s">
        <v>353</v>
      </c>
      <c r="J85" s="2" t="str">
        <f>tblStock[[#This Row],[Modele Machine]]&amp;"|"&amp;tblStock[[#This Row],[Référence]]&amp;"|"&amp;tblStock[[#This Row],[Couleur]]&amp;"|"&amp;tblStock[[#This Row],[Type (Original/Compatible)]]</f>
        <v>4052/4053Ci|TK8525M|M|Compatible</v>
      </c>
      <c r="K85" s="2">
        <v>2</v>
      </c>
      <c r="L85" s="2">
        <f>tblStock[[#This Row],[Stock_total_31_12_2025
Vendargues]]*tblStock[[#This Row],[Prix achat HT]]</f>
        <v>95.2</v>
      </c>
      <c r="M85" s="2"/>
      <c r="N85" s="2">
        <f>SUMIFS(tblSorties[Quantité],tblSorties[Cleprix],tblStock[[#This Row],[ClePrix]])</f>
        <v>1</v>
      </c>
      <c r="O85" s="2">
        <f>tblStock[[#This Row],[Stock_total_31_12_2025
Vendargues]]+tblStock[[#This Row],[Entrees_2026]]-tblStock[[#This Row],[Sorties_2026]]</f>
        <v>1</v>
      </c>
      <c r="P85" s="17">
        <f>tblStock[[#This Row],[Stock_Actuel]]*tblStock[[#This Row],[Prix achat HT]]</f>
        <v>47.6</v>
      </c>
    </row>
    <row r="86" spans="2:16" x14ac:dyDescent="0.25">
      <c r="B86" t="str">
        <f t="shared" si="2"/>
        <v>TK8525Y|Compatible</v>
      </c>
      <c r="C86" s="2" t="s">
        <v>393</v>
      </c>
      <c r="D86" s="2" t="s">
        <v>5</v>
      </c>
      <c r="E86" s="9" t="s">
        <v>324</v>
      </c>
      <c r="F86" s="2" t="s">
        <v>321</v>
      </c>
      <c r="G86" s="7">
        <v>47.6</v>
      </c>
      <c r="H86" s="2" t="s">
        <v>507</v>
      </c>
      <c r="I86" s="2" t="s">
        <v>353</v>
      </c>
      <c r="J86" s="2" t="str">
        <f>tblStock[[#This Row],[Modele Machine]]&amp;"|"&amp;tblStock[[#This Row],[Référence]]&amp;"|"&amp;tblStock[[#This Row],[Couleur]]&amp;"|"&amp;tblStock[[#This Row],[Type (Original/Compatible)]]</f>
        <v>4052/4053Ci|TK8525Y|Y|Compatible</v>
      </c>
      <c r="K86" s="2">
        <v>3</v>
      </c>
      <c r="L86" s="2">
        <f>tblStock[[#This Row],[Stock_total_31_12_2025
Vendargues]]*tblStock[[#This Row],[Prix achat HT]]</f>
        <v>142.80000000000001</v>
      </c>
      <c r="M86" s="2"/>
      <c r="N86" s="2">
        <f>SUMIFS(tblSorties[Quantité],tblSorties[Cleprix],tblStock[[#This Row],[ClePrix]])</f>
        <v>2</v>
      </c>
      <c r="O86" s="2">
        <f>tblStock[[#This Row],[Stock_total_31_12_2025
Vendargues]]+tblStock[[#This Row],[Entrees_2026]]-tblStock[[#This Row],[Sorties_2026]]</f>
        <v>1</v>
      </c>
      <c r="P86" s="17">
        <f>tblStock[[#This Row],[Stock_Actuel]]*tblStock[[#This Row],[Prix achat HT]]</f>
        <v>47.6</v>
      </c>
    </row>
    <row r="87" spans="2:16" x14ac:dyDescent="0.25">
      <c r="B87" t="str">
        <f t="shared" si="2"/>
        <v>TN328K|Original</v>
      </c>
      <c r="C87" s="2" t="s">
        <v>395</v>
      </c>
      <c r="D87" s="2" t="s">
        <v>4</v>
      </c>
      <c r="E87" s="9" t="s">
        <v>320</v>
      </c>
      <c r="F87" s="2" t="s">
        <v>330</v>
      </c>
      <c r="G87" s="7">
        <v>38.409999999999997</v>
      </c>
      <c r="H87" s="10" t="s">
        <v>500</v>
      </c>
      <c r="I87" s="2" t="s">
        <v>394</v>
      </c>
      <c r="J87" s="2" t="str">
        <f>tblStock[[#This Row],[Modele Machine]]&amp;"|"&amp;tblStock[[#This Row],[Référence]]&amp;"|"&amp;tblStock[[#This Row],[Couleur]]&amp;"|"&amp;tblStock[[#This Row],[Type (Original/Compatible)]]</f>
        <v>+250/1 300/1 360/1|TN328K|K|Original</v>
      </c>
      <c r="K87" s="2">
        <v>5</v>
      </c>
      <c r="L87" s="2">
        <f>tblStock[[#This Row],[Stock_total_31_12_2025
Vendargues]]*tblStock[[#This Row],[Prix achat HT]]</f>
        <v>192.04999999999998</v>
      </c>
      <c r="M87" s="2"/>
      <c r="N87" s="2">
        <f>SUMIFS(tblSorties[Quantité],tblSorties[Cleprix],tblStock[[#This Row],[ClePrix]])</f>
        <v>3</v>
      </c>
      <c r="O87" s="2">
        <f>tblStock[[#This Row],[Stock_total_31_12_2025
Vendargues]]+tblStock[[#This Row],[Entrees_2026]]-tblStock[[#This Row],[Sorties_2026]]</f>
        <v>2</v>
      </c>
      <c r="P87" s="17">
        <f>tblStock[[#This Row],[Stock_Actuel]]*tblStock[[#This Row],[Prix achat HT]]</f>
        <v>76.819999999999993</v>
      </c>
    </row>
    <row r="88" spans="2:16" x14ac:dyDescent="0.25">
      <c r="B88" t="str">
        <f t="shared" si="2"/>
        <v>TN328C|Original</v>
      </c>
      <c r="C88" s="2" t="s">
        <v>497</v>
      </c>
      <c r="D88" s="2" t="s">
        <v>4</v>
      </c>
      <c r="E88" s="9" t="s">
        <v>322</v>
      </c>
      <c r="F88" s="2" t="s">
        <v>330</v>
      </c>
      <c r="G88" s="7">
        <v>99.33</v>
      </c>
      <c r="H88" s="10" t="s">
        <v>500</v>
      </c>
      <c r="I88" s="2" t="s">
        <v>394</v>
      </c>
      <c r="J88" s="2" t="str">
        <f>tblStock[[#This Row],[Modele Machine]]&amp;"|"&amp;tblStock[[#This Row],[Référence]]&amp;"|"&amp;tblStock[[#This Row],[Couleur]]&amp;"|"&amp;tblStock[[#This Row],[Type (Original/Compatible)]]</f>
        <v>+250/1 300/1 360/1|TN328C|C|Original</v>
      </c>
      <c r="K88" s="2">
        <v>3</v>
      </c>
      <c r="L88" s="2">
        <f>tblStock[[#This Row],[Stock_total_31_12_2025
Vendargues]]*tblStock[[#This Row],[Prix achat HT]]</f>
        <v>297.99</v>
      </c>
      <c r="M88" s="2"/>
      <c r="N88" s="2">
        <f>SUMIFS(tblSorties[Quantité],tblSorties[Cleprix],tblStock[[#This Row],[ClePrix]])</f>
        <v>1</v>
      </c>
      <c r="O88" s="2">
        <f>tblStock[[#This Row],[Stock_total_31_12_2025
Vendargues]]+tblStock[[#This Row],[Entrees_2026]]-tblStock[[#This Row],[Sorties_2026]]</f>
        <v>2</v>
      </c>
      <c r="P88" s="17">
        <f>tblStock[[#This Row],[Stock_Actuel]]*tblStock[[#This Row],[Prix achat HT]]</f>
        <v>198.66</v>
      </c>
    </row>
    <row r="89" spans="2:16" x14ac:dyDescent="0.25">
      <c r="B89" t="str">
        <f t="shared" si="2"/>
        <v>TN328M|Original</v>
      </c>
      <c r="C89" s="2" t="s">
        <v>396</v>
      </c>
      <c r="D89" s="2" t="s">
        <v>4</v>
      </c>
      <c r="E89" s="9" t="s">
        <v>323</v>
      </c>
      <c r="F89" s="2" t="s">
        <v>330</v>
      </c>
      <c r="G89" s="7">
        <v>99.33</v>
      </c>
      <c r="H89" s="10" t="s">
        <v>500</v>
      </c>
      <c r="I89" s="2" t="s">
        <v>394</v>
      </c>
      <c r="J89" s="2" t="str">
        <f>tblStock[[#This Row],[Modele Machine]]&amp;"|"&amp;tblStock[[#This Row],[Référence]]&amp;"|"&amp;tblStock[[#This Row],[Couleur]]&amp;"|"&amp;tblStock[[#This Row],[Type (Original/Compatible)]]</f>
        <v>+250/1 300/1 360/1|TN328M|M|Original</v>
      </c>
      <c r="K89" s="2">
        <v>3</v>
      </c>
      <c r="L89" s="2">
        <f>tblStock[[#This Row],[Stock_total_31_12_2025
Vendargues]]*tblStock[[#This Row],[Prix achat HT]]</f>
        <v>297.99</v>
      </c>
      <c r="M89" s="2"/>
      <c r="N89" s="2">
        <f>SUMIFS(tblSorties[Quantité],tblSorties[Cleprix],tblStock[[#This Row],[ClePrix]])</f>
        <v>1</v>
      </c>
      <c r="O89" s="2">
        <f>tblStock[[#This Row],[Stock_total_31_12_2025
Vendargues]]+tblStock[[#This Row],[Entrees_2026]]-tblStock[[#This Row],[Sorties_2026]]</f>
        <v>2</v>
      </c>
      <c r="P89" s="17">
        <f>tblStock[[#This Row],[Stock_Actuel]]*tblStock[[#This Row],[Prix achat HT]]</f>
        <v>198.66</v>
      </c>
    </row>
    <row r="90" spans="2:16" x14ac:dyDescent="0.25">
      <c r="B90" t="str">
        <f t="shared" si="2"/>
        <v>TN328Y|Original</v>
      </c>
      <c r="C90" s="2" t="s">
        <v>397</v>
      </c>
      <c r="D90" s="2" t="s">
        <v>4</v>
      </c>
      <c r="E90" s="9" t="s">
        <v>324</v>
      </c>
      <c r="F90" s="2" t="s">
        <v>330</v>
      </c>
      <c r="G90" s="7">
        <v>99.33</v>
      </c>
      <c r="H90" s="10" t="s">
        <v>500</v>
      </c>
      <c r="I90" s="2" t="s">
        <v>394</v>
      </c>
      <c r="J90" s="2" t="str">
        <f>tblStock[[#This Row],[Modele Machine]]&amp;"|"&amp;tblStock[[#This Row],[Référence]]&amp;"|"&amp;tblStock[[#This Row],[Couleur]]&amp;"|"&amp;tblStock[[#This Row],[Type (Original/Compatible)]]</f>
        <v>+250/1 300/1 360/1|TN328Y|Y|Original</v>
      </c>
      <c r="K90" s="2">
        <v>3</v>
      </c>
      <c r="L90" s="2">
        <f>tblStock[[#This Row],[Stock_total_31_12_2025
Vendargues]]*tblStock[[#This Row],[Prix achat HT]]</f>
        <v>297.99</v>
      </c>
      <c r="M90" s="2"/>
      <c r="N90" s="2">
        <f>SUMIFS(tblSorties[Quantité],tblSorties[Cleprix],tblStock[[#This Row],[ClePrix]])</f>
        <v>1</v>
      </c>
      <c r="O90" s="2">
        <f>tblStock[[#This Row],[Stock_total_31_12_2025
Vendargues]]+tblStock[[#This Row],[Entrees_2026]]-tblStock[[#This Row],[Sorties_2026]]</f>
        <v>2</v>
      </c>
      <c r="P90" s="17">
        <f>tblStock[[#This Row],[Stock_Actuel]]*tblStock[[#This Row],[Prix achat HT]]</f>
        <v>198.66</v>
      </c>
    </row>
    <row r="91" spans="2:16" x14ac:dyDescent="0.25">
      <c r="B91" t="str">
        <f t="shared" si="2"/>
        <v>TN626K|Original</v>
      </c>
      <c r="C91" s="2" t="s">
        <v>399</v>
      </c>
      <c r="D91" s="2" t="s">
        <v>4</v>
      </c>
      <c r="E91" s="9" t="s">
        <v>320</v>
      </c>
      <c r="F91" s="2" t="s">
        <v>330</v>
      </c>
      <c r="G91" s="7">
        <v>43.3</v>
      </c>
      <c r="H91" s="10" t="s">
        <v>398</v>
      </c>
      <c r="I91" s="2" t="s">
        <v>394</v>
      </c>
      <c r="J91" s="2" t="str">
        <f>tblStock[[#This Row],[Modele Machine]]&amp;"|"&amp;tblStock[[#This Row],[Référence]]&amp;"|"&amp;tblStock[[#This Row],[Couleur]]&amp;"|"&amp;tblStock[[#This Row],[Type (Original/Compatible)]]</f>
        <v>+451/ +551 / +651 |TN626K|K|Original</v>
      </c>
      <c r="K91" s="2">
        <v>1</v>
      </c>
      <c r="L91" s="2">
        <f>tblStock[[#This Row],[Stock_total_31_12_2025
Vendargues]]*tblStock[[#This Row],[Prix achat HT]]</f>
        <v>43.3</v>
      </c>
      <c r="M91" s="2"/>
      <c r="N91" s="2">
        <f>SUMIFS(tblSorties[Quantité],tblSorties[Cleprix],tblStock[[#This Row],[ClePrix]])</f>
        <v>0</v>
      </c>
      <c r="O91" s="2">
        <f>tblStock[[#This Row],[Stock_total_31_12_2025
Vendargues]]+tblStock[[#This Row],[Entrees_2026]]-tblStock[[#This Row],[Sorties_2026]]</f>
        <v>1</v>
      </c>
      <c r="P91" s="17">
        <f>tblStock[[#This Row],[Stock_Actuel]]*tblStock[[#This Row],[Prix achat HT]]</f>
        <v>43.3</v>
      </c>
    </row>
    <row r="92" spans="2:16" x14ac:dyDescent="0.25">
      <c r="B92" t="str">
        <f t="shared" si="2"/>
        <v>TN626K|Compatible</v>
      </c>
      <c r="C92" s="2" t="s">
        <v>399</v>
      </c>
      <c r="D92" s="2" t="s">
        <v>5</v>
      </c>
      <c r="E92" s="9" t="s">
        <v>320</v>
      </c>
      <c r="F92" s="2" t="s">
        <v>321</v>
      </c>
      <c r="G92" s="7">
        <v>24.3</v>
      </c>
      <c r="H92" s="10" t="s">
        <v>398</v>
      </c>
      <c r="I92" s="2" t="s">
        <v>394</v>
      </c>
      <c r="J92" s="2" t="str">
        <f>tblStock[[#This Row],[Modele Machine]]&amp;"|"&amp;tblStock[[#This Row],[Référence]]&amp;"|"&amp;tblStock[[#This Row],[Couleur]]&amp;"|"&amp;tblStock[[#This Row],[Type (Original/Compatible)]]</f>
        <v>+451/ +551 / +651 |TN626K|K|Compatible</v>
      </c>
      <c r="K92" s="2">
        <v>2</v>
      </c>
      <c r="L92" s="2">
        <f>tblStock[[#This Row],[Stock_total_31_12_2025
Vendargues]]*tblStock[[#This Row],[Prix achat HT]]</f>
        <v>48.6</v>
      </c>
      <c r="M92" s="2"/>
      <c r="N92" s="2">
        <f>SUMIFS(tblSorties[Quantité],tblSorties[Cleprix],tblStock[[#This Row],[ClePrix]])</f>
        <v>0</v>
      </c>
      <c r="O92" s="2">
        <f>tblStock[[#This Row],[Stock_total_31_12_2025
Vendargues]]+tblStock[[#This Row],[Entrees_2026]]-tblStock[[#This Row],[Sorties_2026]]</f>
        <v>2</v>
      </c>
      <c r="P92" s="17">
        <f>tblStock[[#This Row],[Stock_Actuel]]*tblStock[[#This Row],[Prix achat HT]]</f>
        <v>48.6</v>
      </c>
    </row>
    <row r="93" spans="2:16" x14ac:dyDescent="0.25">
      <c r="B93" t="str">
        <f t="shared" si="2"/>
        <v>TN626C|Original</v>
      </c>
      <c r="C93" s="2" t="s">
        <v>494</v>
      </c>
      <c r="D93" s="2" t="s">
        <v>4</v>
      </c>
      <c r="E93" s="9" t="s">
        <v>322</v>
      </c>
      <c r="F93" s="2" t="s">
        <v>330</v>
      </c>
      <c r="G93" s="7">
        <v>98.56</v>
      </c>
      <c r="H93" s="10" t="s">
        <v>398</v>
      </c>
      <c r="I93" s="2" t="s">
        <v>394</v>
      </c>
      <c r="J93" s="2" t="str">
        <f>tblStock[[#This Row],[Modele Machine]]&amp;"|"&amp;tblStock[[#This Row],[Référence]]&amp;"|"&amp;tblStock[[#This Row],[Couleur]]&amp;"|"&amp;tblStock[[#This Row],[Type (Original/Compatible)]]</f>
        <v>+451/ +551 / +651 |TN626C|C|Original</v>
      </c>
      <c r="K93" s="2">
        <v>1</v>
      </c>
      <c r="L93" s="2">
        <f>tblStock[[#This Row],[Stock_total_31_12_2025
Vendargues]]*tblStock[[#This Row],[Prix achat HT]]</f>
        <v>98.56</v>
      </c>
      <c r="M93" s="2">
        <v>1</v>
      </c>
      <c r="N93" s="2">
        <f>SUMIFS(tblSorties[Quantité],tblSorties[Cleprix],tblStock[[#This Row],[ClePrix]])</f>
        <v>0</v>
      </c>
      <c r="O93" s="2">
        <f>tblStock[[#This Row],[Stock_total_31_12_2025
Vendargues]]+tblStock[[#This Row],[Entrees_2026]]-tblStock[[#This Row],[Sorties_2026]]</f>
        <v>2</v>
      </c>
      <c r="P93" s="17">
        <f>tblStock[[#This Row],[Stock_Actuel]]*tblStock[[#This Row],[Prix achat HT]]</f>
        <v>197.12</v>
      </c>
    </row>
    <row r="94" spans="2:16" x14ac:dyDescent="0.25">
      <c r="B94" t="str">
        <f t="shared" si="2"/>
        <v>TN626C|Compatible</v>
      </c>
      <c r="C94" s="2" t="s">
        <v>494</v>
      </c>
      <c r="D94" s="2" t="s">
        <v>5</v>
      </c>
      <c r="E94" s="9" t="s">
        <v>322</v>
      </c>
      <c r="F94" s="2" t="s">
        <v>321</v>
      </c>
      <c r="G94" s="7">
        <v>65.599999999999994</v>
      </c>
      <c r="H94" s="10" t="s">
        <v>398</v>
      </c>
      <c r="I94" s="2" t="s">
        <v>394</v>
      </c>
      <c r="J94" s="2" t="str">
        <f>tblStock[[#This Row],[Modele Machine]]&amp;"|"&amp;tblStock[[#This Row],[Référence]]&amp;"|"&amp;tblStock[[#This Row],[Couleur]]&amp;"|"&amp;tblStock[[#This Row],[Type (Original/Compatible)]]</f>
        <v>+451/ +551 / +651 |TN626C|C|Compatible</v>
      </c>
      <c r="K94" s="2">
        <v>0</v>
      </c>
      <c r="L94" s="2">
        <f>tblStock[[#This Row],[Stock_total_31_12_2025
Vendargues]]*tblStock[[#This Row],[Prix achat HT]]</f>
        <v>0</v>
      </c>
      <c r="M94" s="2"/>
      <c r="N94" s="2">
        <f>SUMIFS(tblSorties[Quantité],tblSorties[Cleprix],tblStock[[#This Row],[ClePrix]])</f>
        <v>0</v>
      </c>
      <c r="O94" s="2">
        <f>tblStock[[#This Row],[Stock_total_31_12_2025
Vendargues]]+tblStock[[#This Row],[Entrees_2026]]-tblStock[[#This Row],[Sorties_2026]]</f>
        <v>0</v>
      </c>
      <c r="P94" s="17">
        <f>tblStock[[#This Row],[Stock_Actuel]]*tblStock[[#This Row],[Prix achat HT]]</f>
        <v>0</v>
      </c>
    </row>
    <row r="95" spans="2:16" x14ac:dyDescent="0.25">
      <c r="B95" t="str">
        <f t="shared" ref="B95:B126" si="3">C95&amp;"|"&amp;D95</f>
        <v>TN626M|Original</v>
      </c>
      <c r="C95" s="2" t="s">
        <v>495</v>
      </c>
      <c r="D95" s="2" t="s">
        <v>4</v>
      </c>
      <c r="E95" s="9" t="s">
        <v>323</v>
      </c>
      <c r="F95" s="2" t="s">
        <v>330</v>
      </c>
      <c r="G95" s="7">
        <v>98.56</v>
      </c>
      <c r="H95" s="10" t="s">
        <v>398</v>
      </c>
      <c r="I95" s="2" t="s">
        <v>394</v>
      </c>
      <c r="J95" s="2" t="str">
        <f>tblStock[[#This Row],[Modele Machine]]&amp;"|"&amp;tblStock[[#This Row],[Référence]]&amp;"|"&amp;tblStock[[#This Row],[Couleur]]&amp;"|"&amp;tblStock[[#This Row],[Type (Original/Compatible)]]</f>
        <v>+451/ +551 / +651 |TN626M|M|Original</v>
      </c>
      <c r="K95" s="2">
        <v>1</v>
      </c>
      <c r="L95" s="2">
        <f>tblStock[[#This Row],[Stock_total_31_12_2025
Vendargues]]*tblStock[[#This Row],[Prix achat HT]]</f>
        <v>98.56</v>
      </c>
      <c r="M95" s="2"/>
      <c r="N95" s="2">
        <f>SUMIFS(tblSorties[Quantité],tblSorties[Cleprix],tblStock[[#This Row],[ClePrix]])</f>
        <v>0</v>
      </c>
      <c r="O95" s="2">
        <f>tblStock[[#This Row],[Stock_total_31_12_2025
Vendargues]]+tblStock[[#This Row],[Entrees_2026]]-tblStock[[#This Row],[Sorties_2026]]</f>
        <v>1</v>
      </c>
      <c r="P95" s="17">
        <f>tblStock[[#This Row],[Stock_Actuel]]*tblStock[[#This Row],[Prix achat HT]]</f>
        <v>98.56</v>
      </c>
    </row>
    <row r="96" spans="2:16" x14ac:dyDescent="0.25">
      <c r="B96" t="str">
        <f t="shared" si="3"/>
        <v>TN626M|Compatible</v>
      </c>
      <c r="C96" s="2" t="s">
        <v>495</v>
      </c>
      <c r="D96" s="2" t="s">
        <v>5</v>
      </c>
      <c r="E96" s="9" t="s">
        <v>323</v>
      </c>
      <c r="F96" s="2" t="s">
        <v>321</v>
      </c>
      <c r="G96" s="7">
        <v>65.599999999999994</v>
      </c>
      <c r="H96" s="10" t="s">
        <v>398</v>
      </c>
      <c r="I96" s="2" t="s">
        <v>394</v>
      </c>
      <c r="J96" s="2" t="str">
        <f>tblStock[[#This Row],[Modele Machine]]&amp;"|"&amp;tblStock[[#This Row],[Référence]]&amp;"|"&amp;tblStock[[#This Row],[Couleur]]&amp;"|"&amp;tblStock[[#This Row],[Type (Original/Compatible)]]</f>
        <v>+451/ +551 / +651 |TN626M|M|Compatible</v>
      </c>
      <c r="K96" s="2">
        <v>0</v>
      </c>
      <c r="L96" s="2">
        <f>tblStock[[#This Row],[Stock_total_31_12_2025
Vendargues]]*tblStock[[#This Row],[Prix achat HT]]</f>
        <v>0</v>
      </c>
      <c r="M96" s="2"/>
      <c r="N96" s="2">
        <f>SUMIFS(tblSorties[Quantité],tblSorties[Cleprix],tblStock[[#This Row],[ClePrix]])</f>
        <v>0</v>
      </c>
      <c r="O96" s="2">
        <f>tblStock[[#This Row],[Stock_total_31_12_2025
Vendargues]]+tblStock[[#This Row],[Entrees_2026]]-tblStock[[#This Row],[Sorties_2026]]</f>
        <v>0</v>
      </c>
      <c r="P96" s="17">
        <f>tblStock[[#This Row],[Stock_Actuel]]*tblStock[[#This Row],[Prix achat HT]]</f>
        <v>0</v>
      </c>
    </row>
    <row r="97" spans="2:16" x14ac:dyDescent="0.25">
      <c r="B97" t="str">
        <f t="shared" si="3"/>
        <v>TN626Y|Original</v>
      </c>
      <c r="C97" s="2" t="s">
        <v>496</v>
      </c>
      <c r="D97" s="2" t="s">
        <v>4</v>
      </c>
      <c r="E97" s="9" t="s">
        <v>324</v>
      </c>
      <c r="F97" s="2" t="s">
        <v>330</v>
      </c>
      <c r="G97" s="7">
        <v>98.56</v>
      </c>
      <c r="H97" s="10" t="s">
        <v>398</v>
      </c>
      <c r="I97" s="2" t="s">
        <v>394</v>
      </c>
      <c r="J97" s="2" t="str">
        <f>tblStock[[#This Row],[Modele Machine]]&amp;"|"&amp;tblStock[[#This Row],[Référence]]&amp;"|"&amp;tblStock[[#This Row],[Couleur]]&amp;"|"&amp;tblStock[[#This Row],[Type (Original/Compatible)]]</f>
        <v>+451/ +551 / +651 |TN626Y|Y|Original</v>
      </c>
      <c r="K97" s="2">
        <v>1</v>
      </c>
      <c r="L97" s="2">
        <f>tblStock[[#This Row],[Stock_total_31_12_2025
Vendargues]]*tblStock[[#This Row],[Prix achat HT]]</f>
        <v>98.56</v>
      </c>
      <c r="M97" s="2"/>
      <c r="N97" s="2">
        <f>SUMIFS(tblSorties[Quantité],tblSorties[Cleprix],tblStock[[#This Row],[ClePrix]])</f>
        <v>0</v>
      </c>
      <c r="O97" s="2">
        <f>tblStock[[#This Row],[Stock_total_31_12_2025
Vendargues]]+tblStock[[#This Row],[Entrees_2026]]-tblStock[[#This Row],[Sorties_2026]]</f>
        <v>1</v>
      </c>
      <c r="P97" s="17">
        <f>tblStock[[#This Row],[Stock_Actuel]]*tblStock[[#This Row],[Prix achat HT]]</f>
        <v>98.56</v>
      </c>
    </row>
    <row r="98" spans="2:16" x14ac:dyDescent="0.25">
      <c r="B98" t="str">
        <f t="shared" si="3"/>
        <v>TN626Y|Compatible</v>
      </c>
      <c r="C98" s="2" t="s">
        <v>496</v>
      </c>
      <c r="D98" s="2" t="s">
        <v>5</v>
      </c>
      <c r="E98" s="9" t="s">
        <v>324</v>
      </c>
      <c r="F98" s="2" t="s">
        <v>321</v>
      </c>
      <c r="G98" s="7">
        <v>65.599999999999994</v>
      </c>
      <c r="H98" s="10" t="s">
        <v>398</v>
      </c>
      <c r="I98" s="2" t="s">
        <v>394</v>
      </c>
      <c r="J98" s="2" t="str">
        <f>tblStock[[#This Row],[Modele Machine]]&amp;"|"&amp;tblStock[[#This Row],[Référence]]&amp;"|"&amp;tblStock[[#This Row],[Couleur]]&amp;"|"&amp;tblStock[[#This Row],[Type (Original/Compatible)]]</f>
        <v>+451/ +551 / +651 |TN626Y|Y|Compatible</v>
      </c>
      <c r="K98" s="2">
        <v>0</v>
      </c>
      <c r="L98" s="2">
        <f>tblStock[[#This Row],[Stock_total_31_12_2025
Vendargues]]*tblStock[[#This Row],[Prix achat HT]]</f>
        <v>0</v>
      </c>
      <c r="M98" s="2"/>
      <c r="N98" s="2">
        <f>SUMIFS(tblSorties[Quantité],tblSorties[Cleprix],tblStock[[#This Row],[ClePrix]])</f>
        <v>0</v>
      </c>
      <c r="O98" s="2">
        <f>tblStock[[#This Row],[Stock_total_31_12_2025
Vendargues]]+tblStock[[#This Row],[Entrees_2026]]-tblStock[[#This Row],[Sorties_2026]]</f>
        <v>0</v>
      </c>
      <c r="P98" s="17">
        <f>tblStock[[#This Row],[Stock_Actuel]]*tblStock[[#This Row],[Prix achat HT]]</f>
        <v>0</v>
      </c>
    </row>
    <row r="99" spans="2:16" x14ac:dyDescent="0.25">
      <c r="B99" t="str">
        <f t="shared" si="3"/>
        <v>TNP79K|Original</v>
      </c>
      <c r="C99" s="2" t="s">
        <v>401</v>
      </c>
      <c r="D99" s="2" t="s">
        <v>4</v>
      </c>
      <c r="E99" s="9" t="s">
        <v>320</v>
      </c>
      <c r="F99" s="2" t="s">
        <v>330</v>
      </c>
      <c r="G99" s="7">
        <v>27.2</v>
      </c>
      <c r="H99" s="10" t="s">
        <v>400</v>
      </c>
      <c r="I99" s="2" t="s">
        <v>394</v>
      </c>
      <c r="J99" s="2" t="str">
        <f>tblStock[[#This Row],[Modele Machine]]&amp;"|"&amp;tblStock[[#This Row],[Référence]]&amp;"|"&amp;tblStock[[#This Row],[Couleur]]&amp;"|"&amp;tblStock[[#This Row],[Type (Original/Compatible)]]</f>
        <v>+3351i |TNP79K|K|Original</v>
      </c>
      <c r="K99" s="2">
        <v>2</v>
      </c>
      <c r="L99" s="2">
        <f>tblStock[[#This Row],[Stock_total_31_12_2025
Vendargues]]*tblStock[[#This Row],[Prix achat HT]]</f>
        <v>54.4</v>
      </c>
      <c r="M99" s="2">
        <v>0</v>
      </c>
      <c r="N99" s="2">
        <f>SUMIFS(tblSorties[Quantité],tblSorties[Cleprix],tblStock[[#This Row],[ClePrix]])</f>
        <v>0</v>
      </c>
      <c r="O99" s="2">
        <f>tblStock[[#This Row],[Stock_total_31_12_2025
Vendargues]]+tblStock[[#This Row],[Entrees_2026]]-tblStock[[#This Row],[Sorties_2026]]</f>
        <v>2</v>
      </c>
      <c r="P99" s="17">
        <f>tblStock[[#This Row],[Stock_Actuel]]*tblStock[[#This Row],[Prix achat HT]]</f>
        <v>54.4</v>
      </c>
    </row>
    <row r="100" spans="2:16" x14ac:dyDescent="0.25">
      <c r="B100" t="str">
        <f t="shared" si="3"/>
        <v>TNP79C|Original</v>
      </c>
      <c r="C100" s="2" t="s">
        <v>402</v>
      </c>
      <c r="D100" s="2" t="s">
        <v>4</v>
      </c>
      <c r="E100" s="9" t="s">
        <v>322</v>
      </c>
      <c r="F100" s="2" t="s">
        <v>330</v>
      </c>
      <c r="G100" s="7">
        <v>33.99</v>
      </c>
      <c r="H100" s="10" t="s">
        <v>400</v>
      </c>
      <c r="I100" s="2" t="s">
        <v>394</v>
      </c>
      <c r="J100" s="2" t="str">
        <f>tblStock[[#This Row],[Modele Machine]]&amp;"|"&amp;tblStock[[#This Row],[Référence]]&amp;"|"&amp;tblStock[[#This Row],[Couleur]]&amp;"|"&amp;tblStock[[#This Row],[Type (Original/Compatible)]]</f>
        <v>+3351i |TNP79C|C|Original</v>
      </c>
      <c r="K100" s="2">
        <v>2</v>
      </c>
      <c r="L100" s="2">
        <f>tblStock[[#This Row],[Stock_total_31_12_2025
Vendargues]]*tblStock[[#This Row],[Prix achat HT]]</f>
        <v>67.98</v>
      </c>
      <c r="M100" s="2">
        <v>1</v>
      </c>
      <c r="N100" s="2">
        <f>SUMIFS(tblSorties[Quantité],tblSorties[Cleprix],tblStock[[#This Row],[ClePrix]])</f>
        <v>0</v>
      </c>
      <c r="O100" s="2">
        <f>tblStock[[#This Row],[Stock_total_31_12_2025
Vendargues]]+tblStock[[#This Row],[Entrees_2026]]-tblStock[[#This Row],[Sorties_2026]]</f>
        <v>3</v>
      </c>
      <c r="P100" s="17">
        <f>tblStock[[#This Row],[Stock_Actuel]]*tblStock[[#This Row],[Prix achat HT]]</f>
        <v>101.97</v>
      </c>
    </row>
    <row r="101" spans="2:16" x14ac:dyDescent="0.25">
      <c r="B101" t="str">
        <f t="shared" si="3"/>
        <v>TNP79M|Original</v>
      </c>
      <c r="C101" s="2" t="s">
        <v>403</v>
      </c>
      <c r="D101" s="2" t="s">
        <v>4</v>
      </c>
      <c r="E101" s="9" t="s">
        <v>323</v>
      </c>
      <c r="F101" s="2" t="s">
        <v>330</v>
      </c>
      <c r="G101" s="7">
        <v>33.99</v>
      </c>
      <c r="H101" s="10" t="s">
        <v>400</v>
      </c>
      <c r="I101" s="2" t="s">
        <v>394</v>
      </c>
      <c r="J101" s="2" t="str">
        <f>tblStock[[#This Row],[Modele Machine]]&amp;"|"&amp;tblStock[[#This Row],[Référence]]&amp;"|"&amp;tblStock[[#This Row],[Couleur]]&amp;"|"&amp;tblStock[[#This Row],[Type (Original/Compatible)]]</f>
        <v>+3351i |TNP79M|M|Original</v>
      </c>
      <c r="K101" s="2">
        <v>2</v>
      </c>
      <c r="L101" s="2">
        <f>tblStock[[#This Row],[Stock_total_31_12_2025
Vendargues]]*tblStock[[#This Row],[Prix achat HT]]</f>
        <v>67.98</v>
      </c>
      <c r="M101" s="2">
        <v>2</v>
      </c>
      <c r="N101" s="2">
        <f>SUMIFS(tblSorties[Quantité],tblSorties[Cleprix],tblStock[[#This Row],[ClePrix]])</f>
        <v>2</v>
      </c>
      <c r="O101" s="2">
        <f>tblStock[[#This Row],[Stock_total_31_12_2025
Vendargues]]+tblStock[[#This Row],[Entrees_2026]]-tblStock[[#This Row],[Sorties_2026]]</f>
        <v>2</v>
      </c>
      <c r="P101" s="17">
        <f>tblStock[[#This Row],[Stock_Actuel]]*tblStock[[#This Row],[Prix achat HT]]</f>
        <v>67.98</v>
      </c>
    </row>
    <row r="102" spans="2:16" x14ac:dyDescent="0.25">
      <c r="B102" t="str">
        <f t="shared" si="3"/>
        <v>TNP79Y|Original</v>
      </c>
      <c r="C102" s="2" t="s">
        <v>404</v>
      </c>
      <c r="D102" s="2" t="s">
        <v>4</v>
      </c>
      <c r="E102" s="9" t="s">
        <v>324</v>
      </c>
      <c r="F102" s="2" t="s">
        <v>330</v>
      </c>
      <c r="G102" s="7">
        <v>33.99</v>
      </c>
      <c r="H102" s="10" t="s">
        <v>400</v>
      </c>
      <c r="I102" s="2" t="s">
        <v>394</v>
      </c>
      <c r="J102" s="2" t="str">
        <f>tblStock[[#This Row],[Modele Machine]]&amp;"|"&amp;tblStock[[#This Row],[Référence]]&amp;"|"&amp;tblStock[[#This Row],[Couleur]]&amp;"|"&amp;tblStock[[#This Row],[Type (Original/Compatible)]]</f>
        <v>+3351i |TNP79Y|Y|Original</v>
      </c>
      <c r="K102" s="2">
        <v>2</v>
      </c>
      <c r="L102" s="2">
        <f>tblStock[[#This Row],[Stock_total_31_12_2025
Vendargues]]*tblStock[[#This Row],[Prix achat HT]]</f>
        <v>67.98</v>
      </c>
      <c r="M102" s="2"/>
      <c r="N102" s="2">
        <f>SUMIFS(tblSorties[Quantité],tblSorties[Cleprix],tblStock[[#This Row],[ClePrix]])</f>
        <v>0</v>
      </c>
      <c r="O102" s="2">
        <f>tblStock[[#This Row],[Stock_total_31_12_2025
Vendargues]]+tblStock[[#This Row],[Entrees_2026]]-tblStock[[#This Row],[Sorties_2026]]</f>
        <v>2</v>
      </c>
      <c r="P102" s="17">
        <f>tblStock[[#This Row],[Stock_Actuel]]*tblStock[[#This Row],[Prix achat HT]]</f>
        <v>67.98</v>
      </c>
    </row>
    <row r="103" spans="2:16" x14ac:dyDescent="0.25">
      <c r="B103" t="str">
        <f t="shared" si="3"/>
        <v>TNP81K|Original</v>
      </c>
      <c r="C103" s="2" t="s">
        <v>406</v>
      </c>
      <c r="D103" s="2" t="s">
        <v>4</v>
      </c>
      <c r="E103" s="9" t="s">
        <v>320</v>
      </c>
      <c r="F103" s="2" t="s">
        <v>330</v>
      </c>
      <c r="G103" s="7">
        <v>31.15</v>
      </c>
      <c r="H103" s="10" t="s">
        <v>405</v>
      </c>
      <c r="I103" s="2" t="s">
        <v>394</v>
      </c>
      <c r="J103" s="2" t="str">
        <f>tblStock[[#This Row],[Modele Machine]]&amp;"|"&amp;tblStock[[#This Row],[Référence]]&amp;"|"&amp;tblStock[[#This Row],[Couleur]]&amp;"|"&amp;tblStock[[#This Row],[Type (Original/Compatible)]]</f>
        <v>+4000i|TNP81K|K|Original</v>
      </c>
      <c r="K103" s="2">
        <v>3</v>
      </c>
      <c r="L103" s="2">
        <f>tblStock[[#This Row],[Stock_total_31_12_2025
Vendargues]]*tblStock[[#This Row],[Prix achat HT]]</f>
        <v>93.449999999999989</v>
      </c>
      <c r="M103" s="2"/>
      <c r="N103" s="2">
        <f>SUMIFS(tblSorties[Quantité],tblSorties[Cleprix],tblStock[[#This Row],[ClePrix]])</f>
        <v>1</v>
      </c>
      <c r="O103" s="2">
        <f>tblStock[[#This Row],[Stock_total_31_12_2025
Vendargues]]+tblStock[[#This Row],[Entrees_2026]]-tblStock[[#This Row],[Sorties_2026]]</f>
        <v>2</v>
      </c>
      <c r="P103" s="17">
        <f>tblStock[[#This Row],[Stock_Actuel]]*tblStock[[#This Row],[Prix achat HT]]</f>
        <v>62.3</v>
      </c>
    </row>
    <row r="104" spans="2:16" x14ac:dyDescent="0.25">
      <c r="B104" t="str">
        <f t="shared" si="3"/>
        <v>TNP81C|Original</v>
      </c>
      <c r="C104" s="2" t="s">
        <v>407</v>
      </c>
      <c r="D104" s="2" t="s">
        <v>4</v>
      </c>
      <c r="E104" s="9" t="s">
        <v>322</v>
      </c>
      <c r="F104" s="2" t="s">
        <v>330</v>
      </c>
      <c r="G104" s="7">
        <v>37.53</v>
      </c>
      <c r="H104" s="10" t="s">
        <v>405</v>
      </c>
      <c r="I104" s="2" t="s">
        <v>394</v>
      </c>
      <c r="J104" s="2" t="str">
        <f>tblStock[[#This Row],[Modele Machine]]&amp;"|"&amp;tblStock[[#This Row],[Référence]]&amp;"|"&amp;tblStock[[#This Row],[Couleur]]&amp;"|"&amp;tblStock[[#This Row],[Type (Original/Compatible)]]</f>
        <v>+4000i|TNP81C|C|Original</v>
      </c>
      <c r="K104" s="2">
        <v>2</v>
      </c>
      <c r="L104" s="2">
        <f>tblStock[[#This Row],[Stock_total_31_12_2025
Vendargues]]*tblStock[[#This Row],[Prix achat HT]]</f>
        <v>75.06</v>
      </c>
      <c r="M104" s="2">
        <v>1</v>
      </c>
      <c r="N104" s="2">
        <f>SUMIFS(tblSorties[Quantité],tblSorties[Cleprix],tblStock[[#This Row],[ClePrix]])</f>
        <v>2</v>
      </c>
      <c r="O104" s="2">
        <f>tblStock[[#This Row],[Stock_total_31_12_2025
Vendargues]]+tblStock[[#This Row],[Entrees_2026]]-tblStock[[#This Row],[Sorties_2026]]</f>
        <v>1</v>
      </c>
      <c r="P104" s="17">
        <f>tblStock[[#This Row],[Stock_Actuel]]*tblStock[[#This Row],[Prix achat HT]]</f>
        <v>37.53</v>
      </c>
    </row>
    <row r="105" spans="2:16" x14ac:dyDescent="0.25">
      <c r="B105" t="str">
        <f t="shared" si="3"/>
        <v>TNP81M|Original</v>
      </c>
      <c r="C105" s="2" t="s">
        <v>408</v>
      </c>
      <c r="D105" s="2" t="s">
        <v>4</v>
      </c>
      <c r="E105" s="9" t="s">
        <v>323</v>
      </c>
      <c r="F105" s="2" t="s">
        <v>330</v>
      </c>
      <c r="G105" s="7">
        <v>37.53</v>
      </c>
      <c r="H105" s="10" t="s">
        <v>405</v>
      </c>
      <c r="I105" s="2" t="s">
        <v>394</v>
      </c>
      <c r="J105" s="2" t="str">
        <f>tblStock[[#This Row],[Modele Machine]]&amp;"|"&amp;tblStock[[#This Row],[Référence]]&amp;"|"&amp;tblStock[[#This Row],[Couleur]]&amp;"|"&amp;tblStock[[#This Row],[Type (Original/Compatible)]]</f>
        <v>+4000i|TNP81M|M|Original</v>
      </c>
      <c r="K105" s="2">
        <v>2</v>
      </c>
      <c r="L105" s="2">
        <f>tblStock[[#This Row],[Stock_total_31_12_2025
Vendargues]]*tblStock[[#This Row],[Prix achat HT]]</f>
        <v>75.06</v>
      </c>
      <c r="M105" s="2">
        <v>1</v>
      </c>
      <c r="N105" s="2">
        <f>SUMIFS(tblSorties[Quantité],tblSorties[Cleprix],tblStock[[#This Row],[ClePrix]])</f>
        <v>2</v>
      </c>
      <c r="O105" s="2">
        <f>tblStock[[#This Row],[Stock_total_31_12_2025
Vendargues]]+tblStock[[#This Row],[Entrees_2026]]-tblStock[[#This Row],[Sorties_2026]]</f>
        <v>1</v>
      </c>
      <c r="P105" s="17">
        <f>tblStock[[#This Row],[Stock_Actuel]]*tblStock[[#This Row],[Prix achat HT]]</f>
        <v>37.53</v>
      </c>
    </row>
    <row r="106" spans="2:16" x14ac:dyDescent="0.25">
      <c r="B106" t="str">
        <f t="shared" si="3"/>
        <v>TNP81Y|Original</v>
      </c>
      <c r="C106" s="2" t="s">
        <v>409</v>
      </c>
      <c r="D106" s="2" t="s">
        <v>4</v>
      </c>
      <c r="E106" s="9" t="s">
        <v>324</v>
      </c>
      <c r="F106" s="2" t="s">
        <v>330</v>
      </c>
      <c r="G106" s="7">
        <v>37.53</v>
      </c>
      <c r="H106" s="10" t="s">
        <v>405</v>
      </c>
      <c r="I106" s="2" t="s">
        <v>394</v>
      </c>
      <c r="J106" s="2" t="str">
        <f>tblStock[[#This Row],[Modele Machine]]&amp;"|"&amp;tblStock[[#This Row],[Référence]]&amp;"|"&amp;tblStock[[#This Row],[Couleur]]&amp;"|"&amp;tblStock[[#This Row],[Type (Original/Compatible)]]</f>
        <v>+4000i|TNP81Y|Y|Original</v>
      </c>
      <c r="K106" s="2">
        <v>3</v>
      </c>
      <c r="L106" s="2">
        <f>tblStock[[#This Row],[Stock_total_31_12_2025
Vendargues]]*tblStock[[#This Row],[Prix achat HT]]</f>
        <v>112.59</v>
      </c>
      <c r="M106" s="2"/>
      <c r="N106" s="2">
        <f>SUMIFS(tblSorties[Quantité],tblSorties[Cleprix],tblStock[[#This Row],[ClePrix]])</f>
        <v>2</v>
      </c>
      <c r="O106" s="2">
        <f>tblStock[[#This Row],[Stock_total_31_12_2025
Vendargues]]+tblStock[[#This Row],[Entrees_2026]]-tblStock[[#This Row],[Sorties_2026]]</f>
        <v>1</v>
      </c>
      <c r="P106" s="17">
        <f>tblStock[[#This Row],[Stock_Actuel]]*tblStock[[#This Row],[Prix achat HT]]</f>
        <v>37.53</v>
      </c>
    </row>
    <row r="107" spans="2:16" x14ac:dyDescent="0.25">
      <c r="B107" t="str">
        <f t="shared" si="3"/>
        <v>TNP80K|Original</v>
      </c>
      <c r="C107" s="2" t="s">
        <v>410</v>
      </c>
      <c r="D107" s="2" t="s">
        <v>4</v>
      </c>
      <c r="E107" s="9" t="s">
        <v>320</v>
      </c>
      <c r="F107" s="2" t="s">
        <v>330</v>
      </c>
      <c r="G107" s="7">
        <v>48.49</v>
      </c>
      <c r="H107" s="10" t="s">
        <v>276</v>
      </c>
      <c r="I107" s="2" t="s">
        <v>394</v>
      </c>
      <c r="J107" s="2" t="str">
        <f>tblStock[[#This Row],[Modele Machine]]&amp;"|"&amp;tblStock[[#This Row],[Référence]]&amp;"|"&amp;tblStock[[#This Row],[Couleur]]&amp;"|"&amp;tblStock[[#This Row],[Type (Original/Compatible)]]</f>
        <v>+3321i|TNP80K|K|Original</v>
      </c>
      <c r="K107" s="2">
        <v>3</v>
      </c>
      <c r="L107" s="2">
        <f>tblStock[[#This Row],[Stock_total_31_12_2025
Vendargues]]*tblStock[[#This Row],[Prix achat HT]]</f>
        <v>145.47</v>
      </c>
      <c r="M107" s="2"/>
      <c r="N107" s="2">
        <f>SUMIFS(tblSorties[Quantité],tblSorties[Cleprix],tblStock[[#This Row],[ClePrix]])</f>
        <v>1</v>
      </c>
      <c r="O107" s="2">
        <f>tblStock[[#This Row],[Stock_total_31_12_2025
Vendargues]]+tblStock[[#This Row],[Entrees_2026]]-tblStock[[#This Row],[Sorties_2026]]</f>
        <v>2</v>
      </c>
      <c r="P107" s="17">
        <f>tblStock[[#This Row],[Stock_Actuel]]*tblStock[[#This Row],[Prix achat HT]]</f>
        <v>96.98</v>
      </c>
    </row>
    <row r="108" spans="2:16" x14ac:dyDescent="0.25">
      <c r="B108" t="str">
        <f t="shared" si="3"/>
        <v>TNP80K|Compatible</v>
      </c>
      <c r="C108" s="2" t="s">
        <v>410</v>
      </c>
      <c r="D108" s="2" t="s">
        <v>5</v>
      </c>
      <c r="E108" s="9" t="s">
        <v>320</v>
      </c>
      <c r="F108" s="2" t="s">
        <v>321</v>
      </c>
      <c r="G108" s="7">
        <v>23.75</v>
      </c>
      <c r="H108" s="10" t="s">
        <v>276</v>
      </c>
      <c r="I108" s="2" t="s">
        <v>394</v>
      </c>
      <c r="J108" s="2" t="str">
        <f>tblStock[[#This Row],[Modele Machine]]&amp;"|"&amp;tblStock[[#This Row],[Référence]]&amp;"|"&amp;tblStock[[#This Row],[Couleur]]&amp;"|"&amp;tblStock[[#This Row],[Type (Original/Compatible)]]</f>
        <v>+3321i|TNP80K|K|Compatible</v>
      </c>
      <c r="K108" s="2">
        <v>4</v>
      </c>
      <c r="L108" s="2">
        <f>tblStock[[#This Row],[Stock_total_31_12_2025
Vendargues]]*tblStock[[#This Row],[Prix achat HT]]</f>
        <v>95</v>
      </c>
      <c r="M108" s="2"/>
      <c r="N108" s="2">
        <f>SUMIFS(tblSorties[Quantité],tblSorties[Cleprix],tblStock[[#This Row],[ClePrix]])</f>
        <v>0</v>
      </c>
      <c r="O108" s="2">
        <f>tblStock[[#This Row],[Stock_total_31_12_2025
Vendargues]]+tblStock[[#This Row],[Entrees_2026]]-tblStock[[#This Row],[Sorties_2026]]</f>
        <v>4</v>
      </c>
      <c r="P108" s="17">
        <f>tblStock[[#This Row],[Stock_Actuel]]*tblStock[[#This Row],[Prix achat HT]]</f>
        <v>95</v>
      </c>
    </row>
    <row r="109" spans="2:16" x14ac:dyDescent="0.25">
      <c r="B109" t="str">
        <f t="shared" si="3"/>
        <v>TNP80C|Original</v>
      </c>
      <c r="C109" s="2" t="s">
        <v>411</v>
      </c>
      <c r="D109" s="2" t="s">
        <v>4</v>
      </c>
      <c r="E109" s="9" t="s">
        <v>322</v>
      </c>
      <c r="F109" s="2" t="s">
        <v>330</v>
      </c>
      <c r="G109" s="7">
        <v>47.75</v>
      </c>
      <c r="H109" s="10" t="s">
        <v>276</v>
      </c>
      <c r="I109" s="2" t="s">
        <v>394</v>
      </c>
      <c r="J109" s="2" t="str">
        <f>tblStock[[#This Row],[Modele Machine]]&amp;"|"&amp;tblStock[[#This Row],[Référence]]&amp;"|"&amp;tblStock[[#This Row],[Couleur]]&amp;"|"&amp;tblStock[[#This Row],[Type (Original/Compatible)]]</f>
        <v>+3321i|TNP80C|C|Original</v>
      </c>
      <c r="K109" s="2">
        <v>5</v>
      </c>
      <c r="L109" s="2">
        <f>tblStock[[#This Row],[Stock_total_31_12_2025
Vendargues]]*tblStock[[#This Row],[Prix achat HT]]</f>
        <v>238.75</v>
      </c>
      <c r="M109" s="2"/>
      <c r="N109" s="2">
        <f>SUMIFS(tblSorties[Quantité],tblSorties[Cleprix],tblStock[[#This Row],[ClePrix]])</f>
        <v>1</v>
      </c>
      <c r="O109" s="2">
        <f>tblStock[[#This Row],[Stock_total_31_12_2025
Vendargues]]+tblStock[[#This Row],[Entrees_2026]]-tblStock[[#This Row],[Sorties_2026]]</f>
        <v>4</v>
      </c>
      <c r="P109" s="17">
        <f>tblStock[[#This Row],[Stock_Actuel]]*tblStock[[#This Row],[Prix achat HT]]</f>
        <v>191</v>
      </c>
    </row>
    <row r="110" spans="2:16" x14ac:dyDescent="0.25">
      <c r="B110" t="str">
        <f t="shared" si="3"/>
        <v>TNP80C|Compatible</v>
      </c>
      <c r="C110" s="2" t="s">
        <v>411</v>
      </c>
      <c r="D110" s="2" t="s">
        <v>5</v>
      </c>
      <c r="E110" s="9" t="s">
        <v>322</v>
      </c>
      <c r="F110" s="2" t="s">
        <v>321</v>
      </c>
      <c r="G110" s="7">
        <v>28</v>
      </c>
      <c r="H110" s="10" t="s">
        <v>276</v>
      </c>
      <c r="I110" s="2" t="s">
        <v>394</v>
      </c>
      <c r="J110" s="2" t="str">
        <f>tblStock[[#This Row],[Modele Machine]]&amp;"|"&amp;tblStock[[#This Row],[Référence]]&amp;"|"&amp;tblStock[[#This Row],[Couleur]]&amp;"|"&amp;tblStock[[#This Row],[Type (Original/Compatible)]]</f>
        <v>+3321i|TNP80C|C|Compatible</v>
      </c>
      <c r="K110" s="2">
        <v>0</v>
      </c>
      <c r="L110" s="2">
        <f>tblStock[[#This Row],[Stock_total_31_12_2025
Vendargues]]*tblStock[[#This Row],[Prix achat HT]]</f>
        <v>0</v>
      </c>
      <c r="M110" s="2"/>
      <c r="N110" s="2">
        <f>SUMIFS(tblSorties[Quantité],tblSorties[Cleprix],tblStock[[#This Row],[ClePrix]])</f>
        <v>0</v>
      </c>
      <c r="O110" s="2">
        <f>tblStock[[#This Row],[Stock_total_31_12_2025
Vendargues]]+tblStock[[#This Row],[Entrees_2026]]-tblStock[[#This Row],[Sorties_2026]]</f>
        <v>0</v>
      </c>
      <c r="P110" s="17">
        <f>tblStock[[#This Row],[Stock_Actuel]]*tblStock[[#This Row],[Prix achat HT]]</f>
        <v>0</v>
      </c>
    </row>
    <row r="111" spans="2:16" x14ac:dyDescent="0.25">
      <c r="B111" t="str">
        <f t="shared" si="3"/>
        <v>TNP80M|Original</v>
      </c>
      <c r="C111" s="2" t="s">
        <v>412</v>
      </c>
      <c r="D111" s="2" t="s">
        <v>4</v>
      </c>
      <c r="E111" s="9" t="s">
        <v>323</v>
      </c>
      <c r="F111" s="2" t="s">
        <v>330</v>
      </c>
      <c r="G111" s="7">
        <v>47.75</v>
      </c>
      <c r="H111" s="10" t="s">
        <v>276</v>
      </c>
      <c r="I111" s="2" t="s">
        <v>394</v>
      </c>
      <c r="J111" s="2" t="str">
        <f>tblStock[[#This Row],[Modele Machine]]&amp;"|"&amp;tblStock[[#This Row],[Référence]]&amp;"|"&amp;tblStock[[#This Row],[Couleur]]&amp;"|"&amp;tblStock[[#This Row],[Type (Original/Compatible)]]</f>
        <v>+3321i|TNP80M|M|Original</v>
      </c>
      <c r="K111" s="2">
        <v>5</v>
      </c>
      <c r="L111" s="2">
        <f>tblStock[[#This Row],[Stock_total_31_12_2025
Vendargues]]*tblStock[[#This Row],[Prix achat HT]]</f>
        <v>238.75</v>
      </c>
      <c r="M111" s="2"/>
      <c r="N111" s="2">
        <f>SUMIFS(tblSorties[Quantité],tblSorties[Cleprix],tblStock[[#This Row],[ClePrix]])</f>
        <v>0</v>
      </c>
      <c r="O111" s="2">
        <f>tblStock[[#This Row],[Stock_total_31_12_2025
Vendargues]]+tblStock[[#This Row],[Entrees_2026]]-tblStock[[#This Row],[Sorties_2026]]</f>
        <v>5</v>
      </c>
      <c r="P111" s="17">
        <f>tblStock[[#This Row],[Stock_Actuel]]*tblStock[[#This Row],[Prix achat HT]]</f>
        <v>238.75</v>
      </c>
    </row>
    <row r="112" spans="2:16" x14ac:dyDescent="0.25">
      <c r="B112" t="str">
        <f t="shared" si="3"/>
        <v>TNP80M|Compatible</v>
      </c>
      <c r="C112" s="2" t="s">
        <v>412</v>
      </c>
      <c r="D112" s="2" t="s">
        <v>5</v>
      </c>
      <c r="E112" s="9" t="s">
        <v>323</v>
      </c>
      <c r="F112" s="2" t="s">
        <v>321</v>
      </c>
      <c r="G112" s="7">
        <v>28</v>
      </c>
      <c r="H112" s="10" t="s">
        <v>276</v>
      </c>
      <c r="I112" s="2" t="s">
        <v>394</v>
      </c>
      <c r="J112" s="2" t="str">
        <f>tblStock[[#This Row],[Modele Machine]]&amp;"|"&amp;tblStock[[#This Row],[Référence]]&amp;"|"&amp;tblStock[[#This Row],[Couleur]]&amp;"|"&amp;tblStock[[#This Row],[Type (Original/Compatible)]]</f>
        <v>+3321i|TNP80M|M|Compatible</v>
      </c>
      <c r="K112" s="2">
        <v>0</v>
      </c>
      <c r="L112" s="2">
        <f>tblStock[[#This Row],[Stock_total_31_12_2025
Vendargues]]*tblStock[[#This Row],[Prix achat HT]]</f>
        <v>0</v>
      </c>
      <c r="M112" s="2"/>
      <c r="N112" s="2">
        <f>SUMIFS(tblSorties[Quantité],tblSorties[Cleprix],tblStock[[#This Row],[ClePrix]])</f>
        <v>0</v>
      </c>
      <c r="O112" s="2">
        <f>tblStock[[#This Row],[Stock_total_31_12_2025
Vendargues]]+tblStock[[#This Row],[Entrees_2026]]-tblStock[[#This Row],[Sorties_2026]]</f>
        <v>0</v>
      </c>
      <c r="P112" s="17">
        <f>tblStock[[#This Row],[Stock_Actuel]]*tblStock[[#This Row],[Prix achat HT]]</f>
        <v>0</v>
      </c>
    </row>
    <row r="113" spans="2:16" x14ac:dyDescent="0.25">
      <c r="B113" t="str">
        <f t="shared" si="3"/>
        <v>TNP80Y|Original</v>
      </c>
      <c r="C113" s="2" t="s">
        <v>413</v>
      </c>
      <c r="D113" s="2" t="s">
        <v>4</v>
      </c>
      <c r="E113" s="9" t="s">
        <v>324</v>
      </c>
      <c r="F113" s="2" t="s">
        <v>330</v>
      </c>
      <c r="G113" s="7">
        <v>47.75</v>
      </c>
      <c r="H113" s="10" t="s">
        <v>276</v>
      </c>
      <c r="I113" s="2" t="s">
        <v>394</v>
      </c>
      <c r="J113" s="2" t="str">
        <f>tblStock[[#This Row],[Modele Machine]]&amp;"|"&amp;tblStock[[#This Row],[Référence]]&amp;"|"&amp;tblStock[[#This Row],[Couleur]]&amp;"|"&amp;tblStock[[#This Row],[Type (Original/Compatible)]]</f>
        <v>+3321i|TNP80Y|Y|Original</v>
      </c>
      <c r="K113" s="2">
        <v>5</v>
      </c>
      <c r="L113" s="2">
        <f>tblStock[[#This Row],[Stock_total_31_12_2025
Vendargues]]*tblStock[[#This Row],[Prix achat HT]]</f>
        <v>238.75</v>
      </c>
      <c r="M113" s="2"/>
      <c r="N113" s="2">
        <f>SUMIFS(tblSorties[Quantité],tblSorties[Cleprix],tblStock[[#This Row],[ClePrix]])</f>
        <v>1</v>
      </c>
      <c r="O113" s="2">
        <f>tblStock[[#This Row],[Stock_total_31_12_2025
Vendargues]]+tblStock[[#This Row],[Entrees_2026]]-tblStock[[#This Row],[Sorties_2026]]</f>
        <v>4</v>
      </c>
      <c r="P113" s="17">
        <f>tblStock[[#This Row],[Stock_Actuel]]*tblStock[[#This Row],[Prix achat HT]]</f>
        <v>191</v>
      </c>
    </row>
    <row r="114" spans="2:16" x14ac:dyDescent="0.25">
      <c r="B114" t="str">
        <f t="shared" si="3"/>
        <v>TNP80Y|Compatible</v>
      </c>
      <c r="C114" s="2" t="s">
        <v>413</v>
      </c>
      <c r="D114" s="2" t="s">
        <v>5</v>
      </c>
      <c r="E114" s="9" t="s">
        <v>324</v>
      </c>
      <c r="F114" s="2" t="s">
        <v>321</v>
      </c>
      <c r="G114" s="7">
        <v>28</v>
      </c>
      <c r="H114" s="10" t="s">
        <v>276</v>
      </c>
      <c r="I114" s="2" t="s">
        <v>394</v>
      </c>
      <c r="J114" s="2" t="str">
        <f>tblStock[[#This Row],[Modele Machine]]&amp;"|"&amp;tblStock[[#This Row],[Référence]]&amp;"|"&amp;tblStock[[#This Row],[Couleur]]&amp;"|"&amp;tblStock[[#This Row],[Type (Original/Compatible)]]</f>
        <v>+3321i|TNP80Y|Y|Compatible</v>
      </c>
      <c r="K114" s="2">
        <v>0</v>
      </c>
      <c r="L114" s="2">
        <f>tblStock[[#This Row],[Stock_total_31_12_2025
Vendargues]]*tblStock[[#This Row],[Prix achat HT]]</f>
        <v>0</v>
      </c>
      <c r="M114" s="2"/>
      <c r="N114" s="2">
        <f>SUMIFS(tblSorties[Quantité],tblSorties[Cleprix],tblStock[[#This Row],[ClePrix]])</f>
        <v>0</v>
      </c>
      <c r="O114" s="2">
        <f>tblStock[[#This Row],[Stock_total_31_12_2025
Vendargues]]+tblStock[[#This Row],[Entrees_2026]]-tblStock[[#This Row],[Sorties_2026]]</f>
        <v>0</v>
      </c>
      <c r="P114" s="17">
        <f>tblStock[[#This Row],[Stock_Actuel]]*tblStock[[#This Row],[Prix achat HT]]</f>
        <v>0</v>
      </c>
    </row>
    <row r="115" spans="2:16" x14ac:dyDescent="0.25">
      <c r="B115" t="str">
        <f t="shared" si="3"/>
        <v>TN227K|Original</v>
      </c>
      <c r="C115" s="2" t="s">
        <v>415</v>
      </c>
      <c r="D115" s="2" t="s">
        <v>4</v>
      </c>
      <c r="E115" s="9" t="s">
        <v>320</v>
      </c>
      <c r="F115" s="2" t="s">
        <v>330</v>
      </c>
      <c r="G115" s="7">
        <v>43.3</v>
      </c>
      <c r="H115" s="10" t="s">
        <v>414</v>
      </c>
      <c r="I115" s="2" t="s">
        <v>394</v>
      </c>
      <c r="J115" s="2" t="str">
        <f>tblStock[[#This Row],[Modele Machine]]&amp;"|"&amp;tblStock[[#This Row],[Référence]]&amp;"|"&amp;tblStock[[#This Row],[Couleur]]&amp;"|"&amp;tblStock[[#This Row],[Type (Original/Compatible)]]</f>
        <v>+257|TN227K|K|Original</v>
      </c>
      <c r="K115" s="2">
        <v>3</v>
      </c>
      <c r="L115" s="2">
        <f>tblStock[[#This Row],[Stock_total_31_12_2025
Vendargues]]*tblStock[[#This Row],[Prix achat HT]]</f>
        <v>129.89999999999998</v>
      </c>
      <c r="M115" s="2"/>
      <c r="N115" s="2">
        <f>SUMIFS(tblSorties[Quantité],tblSorties[Cleprix],tblStock[[#This Row],[ClePrix]])</f>
        <v>3</v>
      </c>
      <c r="O115" s="2">
        <f>tblStock[[#This Row],[Stock_total_31_12_2025
Vendargues]]+tblStock[[#This Row],[Entrees_2026]]-tblStock[[#This Row],[Sorties_2026]]</f>
        <v>0</v>
      </c>
      <c r="P115" s="17">
        <f>tblStock[[#This Row],[Stock_Actuel]]*tblStock[[#This Row],[Prix achat HT]]</f>
        <v>0</v>
      </c>
    </row>
    <row r="116" spans="2:16" x14ac:dyDescent="0.25">
      <c r="B116" t="str">
        <f t="shared" si="3"/>
        <v>TN227K|Compatible</v>
      </c>
      <c r="C116" s="2" t="s">
        <v>415</v>
      </c>
      <c r="D116" s="2" t="s">
        <v>5</v>
      </c>
      <c r="E116" s="9" t="s">
        <v>320</v>
      </c>
      <c r="F116" s="2" t="s">
        <v>321</v>
      </c>
      <c r="G116" s="7">
        <v>28.35</v>
      </c>
      <c r="H116" s="10" t="s">
        <v>414</v>
      </c>
      <c r="I116" s="2" t="s">
        <v>394</v>
      </c>
      <c r="J116" s="2" t="str">
        <f>tblStock[[#This Row],[Modele Machine]]&amp;"|"&amp;tblStock[[#This Row],[Référence]]&amp;"|"&amp;tblStock[[#This Row],[Couleur]]&amp;"|"&amp;tblStock[[#This Row],[Type (Original/Compatible)]]</f>
        <v>+257|TN227K|K|Compatible</v>
      </c>
      <c r="K116" s="2">
        <v>2</v>
      </c>
      <c r="L116" s="2">
        <f>tblStock[[#This Row],[Stock_total_31_12_2025
Vendargues]]*tblStock[[#This Row],[Prix achat HT]]</f>
        <v>56.7</v>
      </c>
      <c r="M116" s="2"/>
      <c r="N116" s="2">
        <f>SUMIFS(tblSorties[Quantité],tblSorties[Cleprix],tblStock[[#This Row],[ClePrix]])</f>
        <v>0</v>
      </c>
      <c r="O116" s="2">
        <f>tblStock[[#This Row],[Stock_total_31_12_2025
Vendargues]]+tblStock[[#This Row],[Entrees_2026]]-tblStock[[#This Row],[Sorties_2026]]</f>
        <v>2</v>
      </c>
      <c r="P116" s="17">
        <f>tblStock[[#This Row],[Stock_Actuel]]*tblStock[[#This Row],[Prix achat HT]]</f>
        <v>56.7</v>
      </c>
    </row>
    <row r="117" spans="2:16" x14ac:dyDescent="0.25">
      <c r="B117" t="str">
        <f t="shared" si="3"/>
        <v>TN227C|Original</v>
      </c>
      <c r="C117" s="2" t="s">
        <v>416</v>
      </c>
      <c r="D117" s="2" t="s">
        <v>4</v>
      </c>
      <c r="E117" s="9" t="s">
        <v>322</v>
      </c>
      <c r="F117" s="2" t="s">
        <v>330</v>
      </c>
      <c r="G117" s="7">
        <v>88.13</v>
      </c>
      <c r="H117" s="10" t="s">
        <v>414</v>
      </c>
      <c r="I117" s="2" t="s">
        <v>394</v>
      </c>
      <c r="J117" s="2" t="str">
        <f>tblStock[[#This Row],[Modele Machine]]&amp;"|"&amp;tblStock[[#This Row],[Référence]]&amp;"|"&amp;tblStock[[#This Row],[Couleur]]&amp;"|"&amp;tblStock[[#This Row],[Type (Original/Compatible)]]</f>
        <v>+257|TN227C|C|Original</v>
      </c>
      <c r="K117" s="2">
        <v>3</v>
      </c>
      <c r="L117" s="2">
        <f>tblStock[[#This Row],[Stock_total_31_12_2025
Vendargues]]*tblStock[[#This Row],[Prix achat HT]]</f>
        <v>264.39</v>
      </c>
      <c r="M117" s="2"/>
      <c r="N117" s="2">
        <f>SUMIFS(tblSorties[Quantité],tblSorties[Cleprix],tblStock[[#This Row],[ClePrix]])</f>
        <v>1</v>
      </c>
      <c r="O117" s="2">
        <f>tblStock[[#This Row],[Stock_total_31_12_2025
Vendargues]]+tblStock[[#This Row],[Entrees_2026]]-tblStock[[#This Row],[Sorties_2026]]</f>
        <v>2</v>
      </c>
      <c r="P117" s="17">
        <f>tblStock[[#This Row],[Stock_Actuel]]*tblStock[[#This Row],[Prix achat HT]]</f>
        <v>176.26</v>
      </c>
    </row>
    <row r="118" spans="2:16" x14ac:dyDescent="0.25">
      <c r="B118" t="str">
        <f t="shared" si="3"/>
        <v>TN227C|Compatible</v>
      </c>
      <c r="C118" s="2" t="s">
        <v>416</v>
      </c>
      <c r="D118" s="2" t="s">
        <v>5</v>
      </c>
      <c r="E118" s="9" t="s">
        <v>322</v>
      </c>
      <c r="F118" s="2" t="s">
        <v>321</v>
      </c>
      <c r="G118" s="7">
        <v>56.5</v>
      </c>
      <c r="H118" s="10" t="s">
        <v>414</v>
      </c>
      <c r="I118" s="2" t="s">
        <v>394</v>
      </c>
      <c r="J118" s="2" t="str">
        <f>tblStock[[#This Row],[Modele Machine]]&amp;"|"&amp;tblStock[[#This Row],[Référence]]&amp;"|"&amp;tblStock[[#This Row],[Couleur]]&amp;"|"&amp;tblStock[[#This Row],[Type (Original/Compatible)]]</f>
        <v>+257|TN227C|C|Compatible</v>
      </c>
      <c r="K118" s="2">
        <v>0</v>
      </c>
      <c r="L118" s="2">
        <f>tblStock[[#This Row],[Stock_total_31_12_2025
Vendargues]]*tblStock[[#This Row],[Prix achat HT]]</f>
        <v>0</v>
      </c>
      <c r="M118" s="2"/>
      <c r="N118" s="2">
        <f>SUMIFS(tblSorties[Quantité],tblSorties[Cleprix],tblStock[[#This Row],[ClePrix]])</f>
        <v>0</v>
      </c>
      <c r="O118" s="2">
        <f>tblStock[[#This Row],[Stock_total_31_12_2025
Vendargues]]+tblStock[[#This Row],[Entrees_2026]]-tblStock[[#This Row],[Sorties_2026]]</f>
        <v>0</v>
      </c>
      <c r="P118" s="17">
        <f>tblStock[[#This Row],[Stock_Actuel]]*tblStock[[#This Row],[Prix achat HT]]</f>
        <v>0</v>
      </c>
    </row>
    <row r="119" spans="2:16" x14ac:dyDescent="0.25">
      <c r="B119" t="str">
        <f t="shared" si="3"/>
        <v>TN227M|Original</v>
      </c>
      <c r="C119" s="2" t="s">
        <v>417</v>
      </c>
      <c r="D119" s="2" t="s">
        <v>4</v>
      </c>
      <c r="E119" s="9" t="s">
        <v>323</v>
      </c>
      <c r="F119" s="2" t="s">
        <v>330</v>
      </c>
      <c r="G119" s="7">
        <v>88.13</v>
      </c>
      <c r="H119" s="10" t="s">
        <v>414</v>
      </c>
      <c r="I119" s="2" t="s">
        <v>394</v>
      </c>
      <c r="J119" s="2" t="str">
        <f>tblStock[[#This Row],[Modele Machine]]&amp;"|"&amp;tblStock[[#This Row],[Référence]]&amp;"|"&amp;tblStock[[#This Row],[Couleur]]&amp;"|"&amp;tblStock[[#This Row],[Type (Original/Compatible)]]</f>
        <v>+257|TN227M|M|Original</v>
      </c>
      <c r="K119" s="2">
        <v>3</v>
      </c>
      <c r="L119" s="2">
        <f>tblStock[[#This Row],[Stock_total_31_12_2025
Vendargues]]*tblStock[[#This Row],[Prix achat HT]]</f>
        <v>264.39</v>
      </c>
      <c r="M119" s="2"/>
      <c r="N119" s="2">
        <f>SUMIFS(tblSorties[Quantité],tblSorties[Cleprix],tblStock[[#This Row],[ClePrix]])</f>
        <v>1</v>
      </c>
      <c r="O119" s="2">
        <f>tblStock[[#This Row],[Stock_total_31_12_2025
Vendargues]]+tblStock[[#This Row],[Entrees_2026]]-tblStock[[#This Row],[Sorties_2026]]</f>
        <v>2</v>
      </c>
      <c r="P119" s="17">
        <f>tblStock[[#This Row],[Stock_Actuel]]*tblStock[[#This Row],[Prix achat HT]]</f>
        <v>176.26</v>
      </c>
    </row>
    <row r="120" spans="2:16" x14ac:dyDescent="0.25">
      <c r="B120" t="str">
        <f t="shared" si="3"/>
        <v>TN227M|Compatible</v>
      </c>
      <c r="C120" s="2" t="s">
        <v>417</v>
      </c>
      <c r="D120" s="2" t="s">
        <v>5</v>
      </c>
      <c r="E120" s="9" t="s">
        <v>323</v>
      </c>
      <c r="F120" s="2" t="s">
        <v>321</v>
      </c>
      <c r="G120" s="7">
        <v>56.5</v>
      </c>
      <c r="H120" s="10" t="s">
        <v>414</v>
      </c>
      <c r="I120" s="2" t="s">
        <v>394</v>
      </c>
      <c r="J120" s="2" t="str">
        <f>tblStock[[#This Row],[Modele Machine]]&amp;"|"&amp;tblStock[[#This Row],[Référence]]&amp;"|"&amp;tblStock[[#This Row],[Couleur]]&amp;"|"&amp;tblStock[[#This Row],[Type (Original/Compatible)]]</f>
        <v>+257|TN227M|M|Compatible</v>
      </c>
      <c r="K120" s="2">
        <v>0</v>
      </c>
      <c r="L120" s="2">
        <f>tblStock[[#This Row],[Stock_total_31_12_2025
Vendargues]]*tblStock[[#This Row],[Prix achat HT]]</f>
        <v>0</v>
      </c>
      <c r="M120" s="2"/>
      <c r="N120" s="2">
        <f>SUMIFS(tblSorties[Quantité],tblSorties[Cleprix],tblStock[[#This Row],[ClePrix]])</f>
        <v>0</v>
      </c>
      <c r="O120" s="2">
        <f>tblStock[[#This Row],[Stock_total_31_12_2025
Vendargues]]+tblStock[[#This Row],[Entrees_2026]]-tblStock[[#This Row],[Sorties_2026]]</f>
        <v>0</v>
      </c>
      <c r="P120" s="17">
        <f>tblStock[[#This Row],[Stock_Actuel]]*tblStock[[#This Row],[Prix achat HT]]</f>
        <v>0</v>
      </c>
    </row>
    <row r="121" spans="2:16" x14ac:dyDescent="0.25">
      <c r="B121" t="str">
        <f t="shared" si="3"/>
        <v>TN227Y|Original</v>
      </c>
      <c r="C121" s="2" t="s">
        <v>418</v>
      </c>
      <c r="D121" s="2" t="s">
        <v>4</v>
      </c>
      <c r="E121" s="9" t="s">
        <v>324</v>
      </c>
      <c r="F121" s="2" t="s">
        <v>330</v>
      </c>
      <c r="G121" s="7">
        <v>88.13</v>
      </c>
      <c r="H121" s="10" t="s">
        <v>414</v>
      </c>
      <c r="I121" s="2" t="s">
        <v>394</v>
      </c>
      <c r="J121" s="2" t="str">
        <f>tblStock[[#This Row],[Modele Machine]]&amp;"|"&amp;tblStock[[#This Row],[Référence]]&amp;"|"&amp;tblStock[[#This Row],[Couleur]]&amp;"|"&amp;tblStock[[#This Row],[Type (Original/Compatible)]]</f>
        <v>+257|TN227Y|Y|Original</v>
      </c>
      <c r="K121" s="2">
        <v>4</v>
      </c>
      <c r="L121" s="2">
        <f>tblStock[[#This Row],[Stock_total_31_12_2025
Vendargues]]*tblStock[[#This Row],[Prix achat HT]]</f>
        <v>352.52</v>
      </c>
      <c r="M121" s="2"/>
      <c r="N121" s="2">
        <f>SUMIFS(tblSorties[Quantité],tblSorties[Cleprix],tblStock[[#This Row],[ClePrix]])</f>
        <v>2</v>
      </c>
      <c r="O121" s="2">
        <f>tblStock[[#This Row],[Stock_total_31_12_2025
Vendargues]]+tblStock[[#This Row],[Entrees_2026]]-tblStock[[#This Row],[Sorties_2026]]</f>
        <v>2</v>
      </c>
      <c r="P121" s="17">
        <f>tblStock[[#This Row],[Stock_Actuel]]*tblStock[[#This Row],[Prix achat HT]]</f>
        <v>176.26</v>
      </c>
    </row>
    <row r="122" spans="2:16" x14ac:dyDescent="0.25">
      <c r="B122" t="str">
        <f t="shared" si="3"/>
        <v>TN227Y|Compatible</v>
      </c>
      <c r="C122" s="2" t="s">
        <v>418</v>
      </c>
      <c r="D122" s="2" t="s">
        <v>5</v>
      </c>
      <c r="E122" s="9" t="s">
        <v>324</v>
      </c>
      <c r="F122" s="2" t="s">
        <v>321</v>
      </c>
      <c r="G122" s="7">
        <v>56.5</v>
      </c>
      <c r="H122" s="10" t="s">
        <v>414</v>
      </c>
      <c r="I122" s="2" t="s">
        <v>394</v>
      </c>
      <c r="J122" s="2" t="str">
        <f>tblStock[[#This Row],[Modele Machine]]&amp;"|"&amp;tblStock[[#This Row],[Référence]]&amp;"|"&amp;tblStock[[#This Row],[Couleur]]&amp;"|"&amp;tblStock[[#This Row],[Type (Original/Compatible)]]</f>
        <v>+257|TN227Y|Y|Compatible</v>
      </c>
      <c r="K122" s="2">
        <v>0</v>
      </c>
      <c r="L122" s="2">
        <f>tblStock[[#This Row],[Stock_total_31_12_2025
Vendargues]]*tblStock[[#This Row],[Prix achat HT]]</f>
        <v>0</v>
      </c>
      <c r="M122" s="2"/>
      <c r="N122" s="2">
        <f>SUMIFS(tblSorties[Quantité],tblSorties[Cleprix],tblStock[[#This Row],[ClePrix]])</f>
        <v>0</v>
      </c>
      <c r="O122" s="2">
        <f>tblStock[[#This Row],[Stock_total_31_12_2025
Vendargues]]+tblStock[[#This Row],[Entrees_2026]]-tblStock[[#This Row],[Sorties_2026]]</f>
        <v>0</v>
      </c>
      <c r="P122" s="17">
        <f>tblStock[[#This Row],[Stock_Actuel]]*tblStock[[#This Row],[Prix achat HT]]</f>
        <v>0</v>
      </c>
    </row>
    <row r="123" spans="2:16" x14ac:dyDescent="0.25">
      <c r="B123" t="str">
        <f t="shared" si="3"/>
        <v>TN323K|Original</v>
      </c>
      <c r="C123" s="2" t="s">
        <v>419</v>
      </c>
      <c r="D123" s="2" t="s">
        <v>4</v>
      </c>
      <c r="E123" s="9" t="s">
        <v>320</v>
      </c>
      <c r="F123" s="2" t="s">
        <v>330</v>
      </c>
      <c r="G123" s="7">
        <v>51.38</v>
      </c>
      <c r="H123" s="11" t="s">
        <v>454</v>
      </c>
      <c r="I123" s="2" t="s">
        <v>394</v>
      </c>
      <c r="J123" s="2" t="str">
        <f>tblStock[[#This Row],[Modele Machine]]&amp;"|"&amp;tblStock[[#This Row],[Référence]]&amp;"|"&amp;tblStock[[#This Row],[Couleur]]&amp;"|"&amp;tblStock[[#This Row],[Type (Original/Compatible)]]</f>
        <v>287i|TN323K|K|Original</v>
      </c>
      <c r="K123" s="2">
        <v>4</v>
      </c>
      <c r="L123" s="2">
        <f>tblStock[[#This Row],[Stock_total_31_12_2025
Vendargues]]*tblStock[[#This Row],[Prix achat HT]]</f>
        <v>205.52</v>
      </c>
      <c r="M123" s="2"/>
      <c r="N123" s="2">
        <f>SUMIFS(tblSorties[Quantité],tblSorties[Cleprix],tblStock[[#This Row],[ClePrix]])</f>
        <v>1</v>
      </c>
      <c r="O123" s="2">
        <f>tblStock[[#This Row],[Stock_total_31_12_2025
Vendargues]]+tblStock[[#This Row],[Entrees_2026]]-tblStock[[#This Row],[Sorties_2026]]</f>
        <v>3</v>
      </c>
      <c r="P123" s="17">
        <f>tblStock[[#This Row],[Stock_Actuel]]*tblStock[[#This Row],[Prix achat HT]]</f>
        <v>154.14000000000001</v>
      </c>
    </row>
    <row r="124" spans="2:16" x14ac:dyDescent="0.25">
      <c r="B124" t="str">
        <f t="shared" si="3"/>
        <v>TN323K|Compatible</v>
      </c>
      <c r="C124" s="2" t="s">
        <v>419</v>
      </c>
      <c r="D124" s="2" t="s">
        <v>5</v>
      </c>
      <c r="E124" s="9" t="s">
        <v>320</v>
      </c>
      <c r="F124" s="2" t="s">
        <v>321</v>
      </c>
      <c r="G124" s="7">
        <v>31</v>
      </c>
      <c r="H124" s="11" t="s">
        <v>454</v>
      </c>
      <c r="I124" s="2" t="s">
        <v>394</v>
      </c>
      <c r="J124" s="2" t="str">
        <f>tblStock[[#This Row],[Modele Machine]]&amp;"|"&amp;tblStock[[#This Row],[Référence]]&amp;"|"&amp;tblStock[[#This Row],[Couleur]]&amp;"|"&amp;tblStock[[#This Row],[Type (Original/Compatible)]]</f>
        <v>287i|TN323K|K|Compatible</v>
      </c>
      <c r="K124" s="2">
        <v>0</v>
      </c>
      <c r="L124" s="2">
        <f>tblStock[[#This Row],[Stock_total_31_12_2025
Vendargues]]*tblStock[[#This Row],[Prix achat HT]]</f>
        <v>0</v>
      </c>
      <c r="M124" s="2"/>
      <c r="N124" s="2">
        <f>SUMIFS(tblSorties[Quantité],tblSorties[Cleprix],tblStock[[#This Row],[ClePrix]])</f>
        <v>0</v>
      </c>
      <c r="O124" s="2">
        <f>tblStock[[#This Row],[Stock_total_31_12_2025
Vendargues]]+tblStock[[#This Row],[Entrees_2026]]-tblStock[[#This Row],[Sorties_2026]]</f>
        <v>0</v>
      </c>
      <c r="P124" s="17">
        <f>tblStock[[#This Row],[Stock_Actuel]]*tblStock[[#This Row],[Prix achat HT]]</f>
        <v>0</v>
      </c>
    </row>
    <row r="125" spans="2:16" x14ac:dyDescent="0.25">
      <c r="B125" t="str">
        <f t="shared" si="3"/>
        <v>W2200|Compatible</v>
      </c>
      <c r="C125" s="2" t="s">
        <v>421</v>
      </c>
      <c r="D125" s="2" t="s">
        <v>5</v>
      </c>
      <c r="E125" s="9" t="s">
        <v>320</v>
      </c>
      <c r="F125" s="2" t="s">
        <v>425</v>
      </c>
      <c r="G125" s="7">
        <v>61.68</v>
      </c>
      <c r="H125" s="10" t="s">
        <v>420</v>
      </c>
      <c r="I125" s="2" t="s">
        <v>426</v>
      </c>
      <c r="J125" s="2" t="str">
        <f>tblStock[[#This Row],[Modele Machine]]&amp;"|"&amp;tblStock[[#This Row],[Référence]]&amp;"|"&amp;tblStock[[#This Row],[Couleur]]&amp;"|"&amp;tblStock[[#This Row],[Type (Original/Compatible)]]</f>
        <v>MFP4302|W2200|K|Compatible</v>
      </c>
      <c r="K125" s="2">
        <v>1</v>
      </c>
      <c r="L125" s="2">
        <f>tblStock[[#This Row],[Stock_total_31_12_2025
Vendargues]]*tblStock[[#This Row],[Prix achat HT]]</f>
        <v>61.68</v>
      </c>
      <c r="M125" s="2"/>
      <c r="N125" s="2">
        <f>SUMIFS(tblSorties[Quantité],tblSorties[Cleprix],tblStock[[#This Row],[ClePrix]])</f>
        <v>0</v>
      </c>
      <c r="O125" s="2">
        <f>tblStock[[#This Row],[Stock_total_31_12_2025
Vendargues]]+tblStock[[#This Row],[Entrees_2026]]-tblStock[[#This Row],[Sorties_2026]]</f>
        <v>1</v>
      </c>
      <c r="P125" s="17">
        <f>tblStock[[#This Row],[Stock_Actuel]]*tblStock[[#This Row],[Prix achat HT]]</f>
        <v>61.68</v>
      </c>
    </row>
    <row r="126" spans="2:16" x14ac:dyDescent="0.25">
      <c r="B126" t="str">
        <f t="shared" si="3"/>
        <v>W2201|Compatible</v>
      </c>
      <c r="C126" s="2" t="s">
        <v>422</v>
      </c>
      <c r="D126" s="2" t="s">
        <v>5</v>
      </c>
      <c r="E126" s="9" t="s">
        <v>322</v>
      </c>
      <c r="F126" s="2" t="s">
        <v>425</v>
      </c>
      <c r="G126" s="7">
        <v>102.82</v>
      </c>
      <c r="H126" s="10" t="s">
        <v>420</v>
      </c>
      <c r="I126" s="2" t="s">
        <v>426</v>
      </c>
      <c r="J126" s="2" t="str">
        <f>tblStock[[#This Row],[Modele Machine]]&amp;"|"&amp;tblStock[[#This Row],[Référence]]&amp;"|"&amp;tblStock[[#This Row],[Couleur]]&amp;"|"&amp;tblStock[[#This Row],[Type (Original/Compatible)]]</f>
        <v>MFP4302|W2201|C|Compatible</v>
      </c>
      <c r="K126" s="2">
        <v>0</v>
      </c>
      <c r="L126" s="2">
        <f>tblStock[[#This Row],[Stock_total_31_12_2025
Vendargues]]*tblStock[[#This Row],[Prix achat HT]]</f>
        <v>0</v>
      </c>
      <c r="M126" s="2"/>
      <c r="N126" s="2">
        <f>SUMIFS(tblSorties[Quantité],tblSorties[Cleprix],tblStock[[#This Row],[ClePrix]])</f>
        <v>0</v>
      </c>
      <c r="O126" s="2">
        <f>tblStock[[#This Row],[Stock_total_31_12_2025
Vendargues]]+tblStock[[#This Row],[Entrees_2026]]-tblStock[[#This Row],[Sorties_2026]]</f>
        <v>0</v>
      </c>
      <c r="P126" s="17">
        <f>tblStock[[#This Row],[Stock_Actuel]]*tblStock[[#This Row],[Prix achat HT]]</f>
        <v>0</v>
      </c>
    </row>
    <row r="127" spans="2:16" x14ac:dyDescent="0.25">
      <c r="B127" t="str">
        <f t="shared" ref="B127:B158" si="4">C127&amp;"|"&amp;D127</f>
        <v>W2203|Compatible</v>
      </c>
      <c r="C127" s="2" t="s">
        <v>423</v>
      </c>
      <c r="D127" s="2" t="s">
        <v>5</v>
      </c>
      <c r="E127" s="9" t="s">
        <v>323</v>
      </c>
      <c r="F127" s="2" t="s">
        <v>425</v>
      </c>
      <c r="G127" s="7">
        <v>102.82</v>
      </c>
      <c r="H127" s="2" t="s">
        <v>420</v>
      </c>
      <c r="I127" s="2" t="s">
        <v>426</v>
      </c>
      <c r="J127" s="2" t="str">
        <f>tblStock[[#This Row],[Modele Machine]]&amp;"|"&amp;tblStock[[#This Row],[Référence]]&amp;"|"&amp;tblStock[[#This Row],[Couleur]]&amp;"|"&amp;tblStock[[#This Row],[Type (Original/Compatible)]]</f>
        <v>MFP4302|W2203|M|Compatible</v>
      </c>
      <c r="K127" s="2">
        <v>1</v>
      </c>
      <c r="L127" s="2">
        <f>tblStock[[#This Row],[Stock_total_31_12_2025
Vendargues]]*tblStock[[#This Row],[Prix achat HT]]</f>
        <v>102.82</v>
      </c>
      <c r="M127" s="2"/>
      <c r="N127" s="2">
        <f>SUMIFS(tblSorties[Quantité],tblSorties[Cleprix],tblStock[[#This Row],[ClePrix]])</f>
        <v>0</v>
      </c>
      <c r="O127" s="2">
        <f>tblStock[[#This Row],[Stock_total_31_12_2025
Vendargues]]+tblStock[[#This Row],[Entrees_2026]]-tblStock[[#This Row],[Sorties_2026]]</f>
        <v>1</v>
      </c>
      <c r="P127" s="17">
        <f>tblStock[[#This Row],[Stock_Actuel]]*tblStock[[#This Row],[Prix achat HT]]</f>
        <v>102.82</v>
      </c>
    </row>
    <row r="128" spans="2:16" x14ac:dyDescent="0.25">
      <c r="B128" t="str">
        <f t="shared" si="4"/>
        <v>W2202|Compatible</v>
      </c>
      <c r="C128" s="2" t="s">
        <v>424</v>
      </c>
      <c r="D128" s="2" t="s">
        <v>5</v>
      </c>
      <c r="E128" s="9" t="s">
        <v>324</v>
      </c>
      <c r="F128" s="2" t="s">
        <v>425</v>
      </c>
      <c r="G128" s="7">
        <v>102.82</v>
      </c>
      <c r="H128" s="2" t="s">
        <v>420</v>
      </c>
      <c r="I128" s="2" t="s">
        <v>426</v>
      </c>
      <c r="J128" s="2" t="str">
        <f>tblStock[[#This Row],[Modele Machine]]&amp;"|"&amp;tblStock[[#This Row],[Référence]]&amp;"|"&amp;tblStock[[#This Row],[Couleur]]&amp;"|"&amp;tblStock[[#This Row],[Type (Original/Compatible)]]</f>
        <v>MFP4302|W2202|Y|Compatible</v>
      </c>
      <c r="K128" s="2">
        <v>1</v>
      </c>
      <c r="L128" s="2">
        <f>tblStock[[#This Row],[Stock_total_31_12_2025
Vendargues]]*tblStock[[#This Row],[Prix achat HT]]</f>
        <v>102.82</v>
      </c>
      <c r="M128" s="2"/>
      <c r="N128" s="2">
        <f>SUMIFS(tblSorties[Quantité],tblSorties[Cleprix],tblStock[[#This Row],[ClePrix]])</f>
        <v>0</v>
      </c>
      <c r="O128" s="2">
        <f>tblStock[[#This Row],[Stock_total_31_12_2025
Vendargues]]+tblStock[[#This Row],[Entrees_2026]]-tblStock[[#This Row],[Sorties_2026]]</f>
        <v>1</v>
      </c>
      <c r="P128" s="17">
        <f>tblStock[[#This Row],[Stock_Actuel]]*tblStock[[#This Row],[Prix achat HT]]</f>
        <v>102.82</v>
      </c>
    </row>
    <row r="129" spans="2:16" x14ac:dyDescent="0.25">
      <c r="B129" t="str">
        <f t="shared" si="4"/>
        <v>WX103|Compatible</v>
      </c>
      <c r="C129" s="2" t="s">
        <v>427</v>
      </c>
      <c r="D129" s="2" t="s">
        <v>5</v>
      </c>
      <c r="E129" s="9" t="s">
        <v>431</v>
      </c>
      <c r="F129" s="2" t="s">
        <v>321</v>
      </c>
      <c r="G129" s="7">
        <v>13.7</v>
      </c>
      <c r="H129" s="2"/>
      <c r="I129" s="2" t="s">
        <v>330</v>
      </c>
      <c r="J129" s="2" t="str">
        <f>tblStock[[#This Row],[Modele Machine]]&amp;"|"&amp;tblStock[[#This Row],[Référence]]&amp;"|"&amp;tblStock[[#This Row],[Couleur]]&amp;"|"&amp;tblStock[[#This Row],[Type (Original/Compatible)]]</f>
        <v>|WX103|BC|Compatible</v>
      </c>
      <c r="K129" s="2">
        <v>3</v>
      </c>
      <c r="L129" s="2">
        <f>tblStock[[#This Row],[Stock_total_31_12_2025
Vendargues]]*tblStock[[#This Row],[Prix achat HT]]</f>
        <v>41.099999999999994</v>
      </c>
      <c r="M129" s="2"/>
      <c r="N129" s="2">
        <f>SUMIFS(tblSorties[Quantité],tblSorties[Cleprix],tblStock[[#This Row],[ClePrix]])</f>
        <v>0</v>
      </c>
      <c r="O129" s="2">
        <f>tblStock[[#This Row],[Stock_total_31_12_2025
Vendargues]]+tblStock[[#This Row],[Entrees_2026]]-tblStock[[#This Row],[Sorties_2026]]</f>
        <v>3</v>
      </c>
      <c r="P129" s="17">
        <f>tblStock[[#This Row],[Stock_Actuel]]*tblStock[[#This Row],[Prix achat HT]]</f>
        <v>41.099999999999994</v>
      </c>
    </row>
    <row r="130" spans="2:16" x14ac:dyDescent="0.25">
      <c r="B130" t="str">
        <f t="shared" si="4"/>
        <v>WX104|Compatible</v>
      </c>
      <c r="C130" s="2" t="s">
        <v>428</v>
      </c>
      <c r="D130" s="2" t="s">
        <v>5</v>
      </c>
      <c r="E130" s="9" t="s">
        <v>431</v>
      </c>
      <c r="F130" s="2" t="s">
        <v>321</v>
      </c>
      <c r="G130" s="7">
        <v>16.100000000000001</v>
      </c>
      <c r="H130" s="2"/>
      <c r="I130" s="2" t="s">
        <v>330</v>
      </c>
      <c r="J130" s="2" t="str">
        <f>tblStock[[#This Row],[Modele Machine]]&amp;"|"&amp;tblStock[[#This Row],[Référence]]&amp;"|"&amp;tblStock[[#This Row],[Couleur]]&amp;"|"&amp;tblStock[[#This Row],[Type (Original/Compatible)]]</f>
        <v>|WX104|BC|Compatible</v>
      </c>
      <c r="K130" s="2">
        <v>3</v>
      </c>
      <c r="L130" s="2">
        <f>tblStock[[#This Row],[Stock_total_31_12_2025
Vendargues]]*tblStock[[#This Row],[Prix achat HT]]</f>
        <v>48.300000000000004</v>
      </c>
      <c r="M130" s="2"/>
      <c r="N130" s="2">
        <f>SUMIFS(tblSorties[Quantité],tblSorties[Cleprix],tblStock[[#This Row],[ClePrix]])</f>
        <v>0</v>
      </c>
      <c r="O130" s="2">
        <f>tblStock[[#This Row],[Stock_total_31_12_2025
Vendargues]]+tblStock[[#This Row],[Entrees_2026]]-tblStock[[#This Row],[Sorties_2026]]</f>
        <v>3</v>
      </c>
      <c r="P130" s="17">
        <f>tblStock[[#This Row],[Stock_Actuel]]*tblStock[[#This Row],[Prix achat HT]]</f>
        <v>48.300000000000004</v>
      </c>
    </row>
    <row r="131" spans="2:16" x14ac:dyDescent="0.25">
      <c r="B131" t="str">
        <f t="shared" si="4"/>
        <v>WX105|Original</v>
      </c>
      <c r="C131" s="2" t="s">
        <v>429</v>
      </c>
      <c r="D131" s="2" t="s">
        <v>4</v>
      </c>
      <c r="E131" s="9" t="s">
        <v>431</v>
      </c>
      <c r="F131" s="2" t="s">
        <v>330</v>
      </c>
      <c r="G131" s="7"/>
      <c r="H131" s="2"/>
      <c r="I131" s="2" t="s">
        <v>330</v>
      </c>
      <c r="J131" s="2" t="str">
        <f>tblStock[[#This Row],[Modele Machine]]&amp;"|"&amp;tblStock[[#This Row],[Référence]]&amp;"|"&amp;tblStock[[#This Row],[Couleur]]&amp;"|"&amp;tblStock[[#This Row],[Type (Original/Compatible)]]</f>
        <v>|WX105|BC|Original</v>
      </c>
      <c r="K131" s="2">
        <v>3</v>
      </c>
      <c r="L131" s="2">
        <f>tblStock[[#This Row],[Stock_total_31_12_2025
Vendargues]]*tblStock[[#This Row],[Prix achat HT]]</f>
        <v>0</v>
      </c>
      <c r="M131" s="2"/>
      <c r="N131" s="2">
        <f>SUMIFS(tblSorties[Quantité],tblSorties[Cleprix],tblStock[[#This Row],[ClePrix]])</f>
        <v>0</v>
      </c>
      <c r="O131" s="2">
        <f>tblStock[[#This Row],[Stock_total_31_12_2025
Vendargues]]+tblStock[[#This Row],[Entrees_2026]]-tblStock[[#This Row],[Sorties_2026]]</f>
        <v>3</v>
      </c>
      <c r="P131" s="17">
        <f>tblStock[[#This Row],[Stock_Actuel]]*tblStock[[#This Row],[Prix achat HT]]</f>
        <v>0</v>
      </c>
    </row>
    <row r="132" spans="2:16" x14ac:dyDescent="0.25">
      <c r="B132" t="str">
        <f t="shared" si="4"/>
        <v>WX105|Compatible</v>
      </c>
      <c r="C132" s="2" t="s">
        <v>429</v>
      </c>
      <c r="D132" s="2" t="s">
        <v>5</v>
      </c>
      <c r="E132" s="9" t="s">
        <v>431</v>
      </c>
      <c r="F132" s="2" t="s">
        <v>321</v>
      </c>
      <c r="G132" s="7">
        <v>14.9</v>
      </c>
      <c r="H132" s="2"/>
      <c r="I132" s="2" t="s">
        <v>330</v>
      </c>
      <c r="J132" s="2" t="str">
        <f>tblStock[[#This Row],[Modele Machine]]&amp;"|"&amp;tblStock[[#This Row],[Référence]]&amp;"|"&amp;tblStock[[#This Row],[Couleur]]&amp;"|"&amp;tblStock[[#This Row],[Type (Original/Compatible)]]</f>
        <v>|WX105|BC|Compatible</v>
      </c>
      <c r="K132" s="2">
        <v>7</v>
      </c>
      <c r="L132" s="2">
        <f>tblStock[[#This Row],[Stock_total_31_12_2025
Vendargues]]*tblStock[[#This Row],[Prix achat HT]]</f>
        <v>104.3</v>
      </c>
      <c r="M132" s="2"/>
      <c r="N132" s="2">
        <f>SUMIFS(tblSorties[Quantité],tblSorties[Cleprix],tblStock[[#This Row],[ClePrix]])</f>
        <v>0</v>
      </c>
      <c r="O132" s="2">
        <f>tblStock[[#This Row],[Stock_total_31_12_2025
Vendargues]]+tblStock[[#This Row],[Entrees_2026]]-tblStock[[#This Row],[Sorties_2026]]</f>
        <v>7</v>
      </c>
      <c r="P132" s="17">
        <f>tblStock[[#This Row],[Stock_Actuel]]*tblStock[[#This Row],[Prix achat HT]]</f>
        <v>104.3</v>
      </c>
    </row>
    <row r="133" spans="2:16" x14ac:dyDescent="0.25">
      <c r="B133" t="str">
        <f t="shared" si="4"/>
        <v>WX107|Compatible</v>
      </c>
      <c r="C133" s="2" t="s">
        <v>430</v>
      </c>
      <c r="D133" s="2" t="s">
        <v>5</v>
      </c>
      <c r="E133" s="9" t="s">
        <v>431</v>
      </c>
      <c r="F133" s="2" t="s">
        <v>360</v>
      </c>
      <c r="G133" s="7">
        <v>14.6</v>
      </c>
      <c r="H133" s="2"/>
      <c r="I133" s="2" t="s">
        <v>330</v>
      </c>
      <c r="J133" s="2" t="str">
        <f>tblStock[[#This Row],[Modele Machine]]&amp;"|"&amp;tblStock[[#This Row],[Référence]]&amp;"|"&amp;tblStock[[#This Row],[Couleur]]&amp;"|"&amp;tblStock[[#This Row],[Type (Original/Compatible)]]</f>
        <v>|WX107|BC|Compatible</v>
      </c>
      <c r="K133" s="2">
        <v>1</v>
      </c>
      <c r="L133" s="2">
        <f>tblStock[[#This Row],[Stock_total_31_12_2025
Vendargues]]*tblStock[[#This Row],[Prix achat HT]]</f>
        <v>14.6</v>
      </c>
      <c r="M133" s="2"/>
      <c r="N133" s="2">
        <f>SUMIFS(tblSorties[Quantité],tblSorties[Cleprix],tblStock[[#This Row],[ClePrix]])</f>
        <v>0</v>
      </c>
      <c r="O133" s="2">
        <f>tblStock[[#This Row],[Stock_total_31_12_2025
Vendargues]]+tblStock[[#This Row],[Entrees_2026]]-tblStock[[#This Row],[Sorties_2026]]</f>
        <v>1</v>
      </c>
      <c r="P133" s="17">
        <f>tblStock[[#This Row],[Stock_Actuel]]*tblStock[[#This Row],[Prix achat HT]]</f>
        <v>14.6</v>
      </c>
    </row>
    <row r="134" spans="2:16" x14ac:dyDescent="0.25">
      <c r="B134" t="str">
        <f t="shared" si="4"/>
        <v>WBP08|Compatible</v>
      </c>
      <c r="C134" s="2" t="s">
        <v>432</v>
      </c>
      <c r="D134" s="2" t="s">
        <v>5</v>
      </c>
      <c r="E134" s="9" t="s">
        <v>431</v>
      </c>
      <c r="F134" s="2" t="s">
        <v>360</v>
      </c>
      <c r="G134" s="7">
        <v>15.1</v>
      </c>
      <c r="H134" s="2" t="s">
        <v>264</v>
      </c>
      <c r="I134" s="2" t="s">
        <v>330</v>
      </c>
      <c r="J134" s="2" t="str">
        <f>tblStock[[#This Row],[Référence]]&amp;"|"&amp;tblStock[[#This Row],[Couleur]]&amp;"|"&amp;tblStock[[#This Row],[Type (Original/Compatible)]]</f>
        <v>WBP08|BC|Compatible</v>
      </c>
      <c r="K134" s="2">
        <v>8</v>
      </c>
      <c r="L134" s="2">
        <f>tblStock[[#This Row],[Stock_total_31_12_2025
Vendargues]]*tblStock[[#This Row],[Prix achat HT]]</f>
        <v>120.8</v>
      </c>
      <c r="M134" s="2"/>
      <c r="N134" s="2">
        <f>SUMIFS(tblSorties[Quantité],tblSorties[Cleprix],tblStock[[#This Row],[ClePrix]])</f>
        <v>0</v>
      </c>
      <c r="O134" s="2">
        <f>tblStock[[#This Row],[Stock_total_31_12_2025
Vendargues]]+tblStock[[#This Row],[Entrees_2026]]-tblStock[[#This Row],[Sorties_2026]]</f>
        <v>8</v>
      </c>
      <c r="P134" s="17">
        <f>tblStock[[#This Row],[Stock_Actuel]]*tblStock[[#This Row],[Prix achat HT]]</f>
        <v>120.8</v>
      </c>
    </row>
    <row r="135" spans="2:16" x14ac:dyDescent="0.25">
      <c r="B135" t="str">
        <f t="shared" si="4"/>
        <v>WT5191|Compatible</v>
      </c>
      <c r="C135" s="2" t="s">
        <v>487</v>
      </c>
      <c r="D135" s="2" t="s">
        <v>5</v>
      </c>
      <c r="E135" s="9" t="s">
        <v>431</v>
      </c>
      <c r="F135" s="2" t="s">
        <v>321</v>
      </c>
      <c r="G135" s="7">
        <v>7.9</v>
      </c>
      <c r="H135" s="2"/>
      <c r="I135" s="2" t="s">
        <v>353</v>
      </c>
      <c r="J135" s="2" t="str">
        <f>tblStock[[#This Row],[Modele Machine]]&amp;"|"&amp;tblStock[[#This Row],[Référence]]&amp;"|"&amp;tblStock[[#This Row],[Couleur]]&amp;"|"&amp;tblStock[[#This Row],[Type (Original/Compatible)]]</f>
        <v>|WT5191|BC|Compatible</v>
      </c>
      <c r="K135" s="2">
        <v>0</v>
      </c>
      <c r="L135" s="2">
        <f>tblStock[[#This Row],[Stock_total_31_12_2025
Vendargues]]*tblStock[[#This Row],[Prix achat HT]]</f>
        <v>0</v>
      </c>
      <c r="M135" s="2"/>
      <c r="N135" s="2">
        <f>SUMIFS(tblSorties[Quantité],tblSorties[Cleprix],tblStock[[#This Row],[ClePrix]])</f>
        <v>0</v>
      </c>
      <c r="O135" s="2">
        <f>tblStock[[#This Row],[Stock_total_31_12_2025
Vendargues]]+tblStock[[#This Row],[Entrees_2026]]-tblStock[[#This Row],[Sorties_2026]]</f>
        <v>0</v>
      </c>
      <c r="P135" s="17">
        <f>tblStock[[#This Row],[Stock_Actuel]]*tblStock[[#This Row],[Prix achat HT]]</f>
        <v>0</v>
      </c>
    </row>
    <row r="136" spans="2:16" x14ac:dyDescent="0.25">
      <c r="B136" t="str">
        <f t="shared" si="4"/>
        <v>WT5190|Compatible</v>
      </c>
      <c r="C136" s="2" t="s">
        <v>488</v>
      </c>
      <c r="D136" s="2" t="s">
        <v>5</v>
      </c>
      <c r="E136" s="9" t="s">
        <v>431</v>
      </c>
      <c r="F136" s="2" t="s">
        <v>321</v>
      </c>
      <c r="G136" s="7">
        <v>10.15</v>
      </c>
      <c r="H136" s="2"/>
      <c r="I136" s="2" t="s">
        <v>353</v>
      </c>
      <c r="J136" s="2" t="str">
        <f>tblStock[[#This Row],[Modele Machine]]&amp;"|"&amp;tblStock[[#This Row],[Référence]]&amp;"|"&amp;tblStock[[#This Row],[Couleur]]&amp;"|"&amp;tblStock[[#This Row],[Type (Original/Compatible)]]</f>
        <v>|WT5190|BC|Compatible</v>
      </c>
      <c r="K136" s="2">
        <v>3</v>
      </c>
      <c r="L136" s="2">
        <f>tblStock[[#This Row],[Stock_total_31_12_2025
Vendargues]]*tblStock[[#This Row],[Prix achat HT]]</f>
        <v>30.450000000000003</v>
      </c>
      <c r="M136" s="2"/>
      <c r="N136" s="2">
        <f>SUMIFS(tblSorties[Quantité],tblSorties[Cleprix],tblStock[[#This Row],[ClePrix]])</f>
        <v>0</v>
      </c>
      <c r="O136" s="2">
        <f>tblStock[[#This Row],[Stock_total_31_12_2025
Vendargues]]+tblStock[[#This Row],[Entrees_2026]]-tblStock[[#This Row],[Sorties_2026]]</f>
        <v>3</v>
      </c>
      <c r="P136" s="17">
        <f>tblStock[[#This Row],[Stock_Actuel]]*tblStock[[#This Row],[Prix achat HT]]</f>
        <v>30.450000000000003</v>
      </c>
    </row>
    <row r="137" spans="2:16" x14ac:dyDescent="0.25">
      <c r="B137" t="str">
        <f t="shared" si="4"/>
        <v>WT8500|Compatible</v>
      </c>
      <c r="C137" s="2" t="s">
        <v>489</v>
      </c>
      <c r="D137" s="2" t="s">
        <v>5</v>
      </c>
      <c r="E137" s="9" t="s">
        <v>431</v>
      </c>
      <c r="F137" s="2" t="s">
        <v>360</v>
      </c>
      <c r="G137" s="7">
        <v>4.2699999999999996</v>
      </c>
      <c r="H137" s="2"/>
      <c r="I137" s="2" t="s">
        <v>353</v>
      </c>
      <c r="J137" s="2" t="str">
        <f>tblStock[[#This Row],[Modele Machine]]&amp;"|"&amp;tblStock[[#This Row],[Référence]]&amp;"|"&amp;tblStock[[#This Row],[Couleur]]&amp;"|"&amp;tblStock[[#This Row],[Type (Original/Compatible)]]</f>
        <v>|WT8500|BC|Compatible</v>
      </c>
      <c r="K137" s="2">
        <v>2</v>
      </c>
      <c r="L137" s="2">
        <f>tblStock[[#This Row],[Stock_total_31_12_2025
Vendargues]]*tblStock[[#This Row],[Prix achat HT]]</f>
        <v>8.5399999999999991</v>
      </c>
      <c r="M137" s="2"/>
      <c r="N137" s="2">
        <f>SUMIFS(tblSorties[Quantité],tblSorties[Cleprix],tblStock[[#This Row],[ClePrix]])</f>
        <v>0</v>
      </c>
      <c r="O137" s="2">
        <f>tblStock[[#This Row],[Stock_total_31_12_2025
Vendargues]]+tblStock[[#This Row],[Entrees_2026]]-tblStock[[#This Row],[Sorties_2026]]</f>
        <v>2</v>
      </c>
      <c r="P137" s="17">
        <f>tblStock[[#This Row],[Stock_Actuel]]*tblStock[[#This Row],[Prix achat HT]]</f>
        <v>8.5399999999999991</v>
      </c>
    </row>
    <row r="138" spans="2:16" x14ac:dyDescent="0.25">
      <c r="B138" t="str">
        <f t="shared" si="4"/>
        <v>IUP36KMK|Original</v>
      </c>
      <c r="C138" s="2" t="s">
        <v>490</v>
      </c>
      <c r="D138" s="2" t="s">
        <v>4</v>
      </c>
      <c r="E138" s="9" t="s">
        <v>320</v>
      </c>
      <c r="F138" s="2"/>
      <c r="G138" s="7">
        <v>306.10000000000002</v>
      </c>
      <c r="H138" s="10" t="s">
        <v>276</v>
      </c>
      <c r="I138" s="2" t="s">
        <v>394</v>
      </c>
      <c r="J138" s="2" t="str">
        <f>tblStock[[#This Row],[Modele Machine]]&amp;"|"&amp;tblStock[[#This Row],[Référence]]&amp;"|"&amp;tblStock[[#This Row],[Couleur]]&amp;"|"&amp;tblStock[[#This Row],[Type (Original/Compatible)]]</f>
        <v>+3321i|IUP36KMK|K|Original</v>
      </c>
      <c r="K138" s="2">
        <v>2</v>
      </c>
      <c r="L138" s="2">
        <f>tblStock[[#This Row],[Stock_total_31_12_2025
Vendargues]]*tblStock[[#This Row],[Prix achat HT]]</f>
        <v>612.20000000000005</v>
      </c>
      <c r="M138" s="2"/>
      <c r="N138" s="2">
        <f>SUMIFS(tblSorties[Quantité],tblSorties[Cleprix],tblStock[[#This Row],[ClePrix]])</f>
        <v>0</v>
      </c>
      <c r="O138" s="2">
        <f>tblStock[[#This Row],[Stock_total_31_12_2025
Vendargues]]+tblStock[[#This Row],[Entrees_2026]]-tblStock[[#This Row],[Sorties_2026]]</f>
        <v>2</v>
      </c>
      <c r="P138" s="17">
        <f>tblStock[[#This Row],[Stock_Actuel]]*tblStock[[#This Row],[Prix achat HT]]</f>
        <v>612.20000000000005</v>
      </c>
    </row>
    <row r="139" spans="2:16" x14ac:dyDescent="0.25">
      <c r="B139" t="str">
        <f t="shared" si="4"/>
        <v>IUP36KMC|Original</v>
      </c>
      <c r="C139" s="2" t="s">
        <v>491</v>
      </c>
      <c r="D139" s="2" t="s">
        <v>4</v>
      </c>
      <c r="E139" s="9" t="s">
        <v>322</v>
      </c>
      <c r="F139" s="2"/>
      <c r="G139" s="7">
        <v>196.16</v>
      </c>
      <c r="H139" s="10" t="s">
        <v>276</v>
      </c>
      <c r="I139" s="2" t="s">
        <v>394</v>
      </c>
      <c r="J139" s="2" t="str">
        <f>tblStock[[#This Row],[Modele Machine]]&amp;"|"&amp;tblStock[[#This Row],[Référence]]&amp;"|"&amp;tblStock[[#This Row],[Couleur]]&amp;"|"&amp;tblStock[[#This Row],[Type (Original/Compatible)]]</f>
        <v>+3321i|IUP36KMC|C|Original</v>
      </c>
      <c r="K139" s="2">
        <v>0</v>
      </c>
      <c r="L139" s="2">
        <f>tblStock[[#This Row],[Stock_total_31_12_2025
Vendargues]]*tblStock[[#This Row],[Prix achat HT]]</f>
        <v>0</v>
      </c>
      <c r="M139" s="2"/>
      <c r="N139" s="2">
        <f>SUMIFS(tblSorties[Quantité],tblSorties[Cleprix],tblStock[[#This Row],[ClePrix]])</f>
        <v>0</v>
      </c>
      <c r="O139" s="2">
        <f>tblStock[[#This Row],[Stock_total_31_12_2025
Vendargues]]+tblStock[[#This Row],[Entrees_2026]]-tblStock[[#This Row],[Sorties_2026]]</f>
        <v>0</v>
      </c>
      <c r="P139" s="17">
        <f>tblStock[[#This Row],[Stock_Actuel]]*tblStock[[#This Row],[Prix achat HT]]</f>
        <v>0</v>
      </c>
    </row>
    <row r="140" spans="2:16" x14ac:dyDescent="0.25">
      <c r="B140" t="str">
        <f t="shared" si="4"/>
        <v>IUP36KMM|Original</v>
      </c>
      <c r="C140" s="2" t="s">
        <v>492</v>
      </c>
      <c r="D140" s="2" t="s">
        <v>4</v>
      </c>
      <c r="E140" s="9" t="s">
        <v>323</v>
      </c>
      <c r="F140" s="2"/>
      <c r="G140" s="7">
        <v>209.89</v>
      </c>
      <c r="H140" s="10" t="s">
        <v>276</v>
      </c>
      <c r="I140" s="2" t="s">
        <v>394</v>
      </c>
      <c r="J140" s="2" t="str">
        <f>tblStock[[#This Row],[Modele Machine]]&amp;"|"&amp;tblStock[[#This Row],[Référence]]&amp;"|"&amp;tblStock[[#This Row],[Couleur]]&amp;"|"&amp;tblStock[[#This Row],[Type (Original/Compatible)]]</f>
        <v>+3321i|IUP36KMM|M|Original</v>
      </c>
      <c r="K140" s="2">
        <v>1</v>
      </c>
      <c r="L140" s="2">
        <f>tblStock[[#This Row],[Stock_total_31_12_2025
Vendargues]]*tblStock[[#This Row],[Prix achat HT]]</f>
        <v>209.89</v>
      </c>
      <c r="M140" s="2"/>
      <c r="N140" s="2">
        <f>SUMIFS(tblSorties[Quantité],tblSorties[Cleprix],tblStock[[#This Row],[ClePrix]])</f>
        <v>0</v>
      </c>
      <c r="O140" s="2">
        <f>tblStock[[#This Row],[Stock_total_31_12_2025
Vendargues]]+tblStock[[#This Row],[Entrees_2026]]-tblStock[[#This Row],[Sorties_2026]]</f>
        <v>1</v>
      </c>
      <c r="P140" s="17">
        <f>tblStock[[#This Row],[Stock_Actuel]]*tblStock[[#This Row],[Prix achat HT]]</f>
        <v>209.89</v>
      </c>
    </row>
    <row r="141" spans="2:16" x14ac:dyDescent="0.25">
      <c r="B141" t="str">
        <f t="shared" si="4"/>
        <v>IUP36KMY|Original</v>
      </c>
      <c r="C141" s="2" t="s">
        <v>493</v>
      </c>
      <c r="D141" s="2" t="s">
        <v>4</v>
      </c>
      <c r="E141" s="9" t="s">
        <v>324</v>
      </c>
      <c r="F141" s="2"/>
      <c r="G141" s="7">
        <v>209.89</v>
      </c>
      <c r="H141" s="10" t="s">
        <v>276</v>
      </c>
      <c r="I141" s="2" t="s">
        <v>394</v>
      </c>
      <c r="J141" s="2" t="str">
        <f>tblStock[[#This Row],[Modele Machine]]&amp;"|"&amp;tblStock[[#This Row],[Référence]]&amp;"|"&amp;tblStock[[#This Row],[Couleur]]&amp;"|"&amp;tblStock[[#This Row],[Type (Original/Compatible)]]</f>
        <v>+3321i|IUP36KMY|Y|Original</v>
      </c>
      <c r="K141" s="2">
        <v>2</v>
      </c>
      <c r="L141" s="2">
        <f>tblStock[[#This Row],[Stock_total_31_12_2025
Vendargues]]*tblStock[[#This Row],[Prix achat HT]]</f>
        <v>419.78</v>
      </c>
      <c r="M141" s="2"/>
      <c r="N141" s="2">
        <f>SUMIFS(tblSorties[Quantité],tblSorties[Cleprix],tblStock[[#This Row],[ClePrix]])</f>
        <v>0</v>
      </c>
      <c r="O141" s="2">
        <f>tblStock[[#This Row],[Stock_total_31_12_2025
Vendargues]]+tblStock[[#This Row],[Entrees_2026]]-tblStock[[#This Row],[Sorties_2026]]</f>
        <v>2</v>
      </c>
      <c r="P141" s="17">
        <f>tblStock[[#This Row],[Stock_Actuel]]*tblStock[[#This Row],[Prix achat HT]]</f>
        <v>419.78</v>
      </c>
    </row>
    <row r="142" spans="2:16" x14ac:dyDescent="0.25">
      <c r="B142" t="str">
        <f t="shared" si="4"/>
        <v>|</v>
      </c>
      <c r="C142" s="2"/>
      <c r="D142" s="2"/>
      <c r="E142" s="9"/>
      <c r="F142" s="2"/>
      <c r="G142" s="7"/>
      <c r="H142" s="2"/>
      <c r="J142" s="2" t="str">
        <f>tblStock[[#This Row],[Modele Machine]]&amp;"|"&amp;tblStock[[#This Row],[Référence]]&amp;"|"&amp;tblStock[[#This Row],[Couleur]]&amp;"|"&amp;tblStock[[#This Row],[Type (Original/Compatible)]]</f>
        <v>|||</v>
      </c>
      <c r="K142" s="2"/>
      <c r="L142" s="2">
        <f>tblStock[[#This Row],[Stock_total_31_12_2025
Vendargues]]*tblStock[[#This Row],[Prix achat HT]]</f>
        <v>0</v>
      </c>
      <c r="M142" s="2"/>
      <c r="N142" s="2">
        <f>SUMIFS(tblSorties[Quantité],tblSorties[Cleprix],tblStock[[#This Row],[ClePrix]])</f>
        <v>0</v>
      </c>
      <c r="O142" s="2">
        <f>tblStock[[#This Row],[Stock_total_31_12_2025
Vendargues]]+tblStock[[#This Row],[Entrees_2026]]-tblStock[[#This Row],[Sorties_2026]]</f>
        <v>0</v>
      </c>
      <c r="P142" s="17">
        <f>tblStock[[#This Row],[Stock_Actuel]]*tblStock[[#This Row],[Prix achat HT]]</f>
        <v>0</v>
      </c>
    </row>
    <row r="143" spans="2:16" x14ac:dyDescent="0.25">
      <c r="B143" t="str">
        <f t="shared" si="4"/>
        <v>|</v>
      </c>
      <c r="C143" s="2"/>
      <c r="D143" s="2"/>
      <c r="E143" s="9"/>
      <c r="F143" s="2"/>
      <c r="G143" s="7"/>
      <c r="H143" s="2"/>
      <c r="J143" s="2" t="str">
        <f>tblStock[[#This Row],[Modele Machine]]&amp;"|"&amp;tblStock[[#This Row],[Référence]]&amp;"|"&amp;tblStock[[#This Row],[Couleur]]&amp;"|"&amp;tblStock[[#This Row],[Type (Original/Compatible)]]</f>
        <v>|||</v>
      </c>
      <c r="K143" s="2"/>
      <c r="L143" s="2">
        <f>tblStock[[#This Row],[Stock_total_31_12_2025
Vendargues]]*tblStock[[#This Row],[Prix achat HT]]</f>
        <v>0</v>
      </c>
      <c r="M143" s="2"/>
      <c r="N143" s="2">
        <f>SUMIFS(tblSorties[Quantité],tblSorties[Cleprix],tblStock[[#This Row],[ClePrix]])</f>
        <v>0</v>
      </c>
      <c r="O143" s="2">
        <f>tblStock[[#This Row],[Stock_total_31_12_2025
Vendargues]]+tblStock[[#This Row],[Entrees_2026]]-tblStock[[#This Row],[Sorties_2026]]</f>
        <v>0</v>
      </c>
      <c r="P143" s="17">
        <f>tblStock[[#This Row],[Stock_Actuel]]*tblStock[[#This Row],[Prix achat HT]]</f>
        <v>0</v>
      </c>
    </row>
    <row r="144" spans="2:16" x14ac:dyDescent="0.25">
      <c r="B144" t="str">
        <f t="shared" si="4"/>
        <v>|</v>
      </c>
      <c r="C144" s="2"/>
      <c r="D144" s="2"/>
      <c r="E144" s="9"/>
      <c r="F144" s="2"/>
      <c r="G144" s="7"/>
      <c r="H144" s="2"/>
      <c r="J144" s="2" t="str">
        <f>tblStock[[#This Row],[Modele Machine]]&amp;"|"&amp;tblStock[[#This Row],[Référence]]&amp;"|"&amp;tblStock[[#This Row],[Couleur]]&amp;"|"&amp;tblStock[[#This Row],[Type (Original/Compatible)]]</f>
        <v>|||</v>
      </c>
      <c r="K144" s="2"/>
      <c r="L144" s="2">
        <f>tblStock[[#This Row],[Stock_total_31_12_2025
Vendargues]]*tblStock[[#This Row],[Prix achat HT]]</f>
        <v>0</v>
      </c>
      <c r="M144" s="2"/>
      <c r="N144" s="2">
        <f>SUMIFS(tblSorties[Quantité],tblSorties[Cleprix],tblStock[[#This Row],[ClePrix]])</f>
        <v>0</v>
      </c>
      <c r="O144" s="2">
        <f>tblStock[[#This Row],[Stock_total_31_12_2025
Vendargues]]+tblStock[[#This Row],[Entrees_2026]]-tblStock[[#This Row],[Sorties_2026]]</f>
        <v>0</v>
      </c>
      <c r="P144" s="17">
        <f>tblStock[[#This Row],[Stock_Actuel]]*tblStock[[#This Row],[Prix achat HT]]</f>
        <v>0</v>
      </c>
    </row>
    <row r="145" spans="2:16" x14ac:dyDescent="0.25">
      <c r="B145" t="str">
        <f t="shared" si="4"/>
        <v>|</v>
      </c>
      <c r="C145" s="2"/>
      <c r="D145" s="2"/>
      <c r="E145" s="9"/>
      <c r="F145" s="2"/>
      <c r="G145" s="7"/>
      <c r="H145" s="2"/>
      <c r="J145" s="2" t="str">
        <f>tblStock[[#This Row],[Modele Machine]]&amp;"|"&amp;tblStock[[#This Row],[Référence]]&amp;"|"&amp;tblStock[[#This Row],[Couleur]]&amp;"|"&amp;tblStock[[#This Row],[Type (Original/Compatible)]]</f>
        <v>|||</v>
      </c>
      <c r="K145" s="2"/>
      <c r="L145" s="2">
        <f>tblStock[[#This Row],[Stock_total_31_12_2025
Vendargues]]*tblStock[[#This Row],[Prix achat HT]]</f>
        <v>0</v>
      </c>
      <c r="M145" s="2"/>
      <c r="N145" s="2">
        <f>SUMIFS(tblSorties[Quantité],tblSorties[Cleprix],tblStock[[#This Row],[ClePrix]])</f>
        <v>0</v>
      </c>
      <c r="O145" s="2">
        <f>tblStock[[#This Row],[Stock_total_31_12_2025
Vendargues]]+tblStock[[#This Row],[Entrees_2026]]-tblStock[[#This Row],[Sorties_2026]]</f>
        <v>0</v>
      </c>
      <c r="P145" s="17">
        <f>tblStock[[#This Row],[Stock_Actuel]]*tblStock[[#This Row],[Prix achat HT]]</f>
        <v>0</v>
      </c>
    </row>
    <row r="146" spans="2:16" x14ac:dyDescent="0.25">
      <c r="B146" t="str">
        <f t="shared" si="4"/>
        <v>|</v>
      </c>
      <c r="C146" s="2"/>
      <c r="D146" s="2"/>
      <c r="E146" s="9"/>
      <c r="F146" s="2"/>
      <c r="G146" s="7"/>
      <c r="H146" s="2"/>
      <c r="J146" s="2" t="str">
        <f>tblStock[[#This Row],[Modele Machine]]&amp;"|"&amp;tblStock[[#This Row],[Référence]]&amp;"|"&amp;tblStock[[#This Row],[Couleur]]&amp;"|"&amp;tblStock[[#This Row],[Type (Original/Compatible)]]</f>
        <v>|||</v>
      </c>
      <c r="K146" s="2"/>
      <c r="L146" s="2">
        <f>tblStock[[#This Row],[Stock_total_31_12_2025
Vendargues]]*tblStock[[#This Row],[Prix achat HT]]</f>
        <v>0</v>
      </c>
      <c r="M146" s="2"/>
      <c r="N146" s="2">
        <f>SUMIFS(tblSorties[Quantité],tblSorties[Cleprix],tblStock[[#This Row],[ClePrix]])</f>
        <v>0</v>
      </c>
      <c r="O146" s="2">
        <f>tblStock[[#This Row],[Stock_total_31_12_2025
Vendargues]]+tblStock[[#This Row],[Entrees_2026]]-tblStock[[#This Row],[Sorties_2026]]</f>
        <v>0</v>
      </c>
      <c r="P146" s="17">
        <f>tblStock[[#This Row],[Stock_Actuel]]*tblStock[[#This Row],[Prix achat HT]]</f>
        <v>0</v>
      </c>
    </row>
    <row r="147" spans="2:16" x14ac:dyDescent="0.25">
      <c r="B147" t="str">
        <f t="shared" si="4"/>
        <v>|</v>
      </c>
      <c r="C147" s="2"/>
      <c r="D147" s="2"/>
      <c r="E147" s="9"/>
      <c r="F147" s="2"/>
      <c r="G147" s="7"/>
      <c r="H147" s="2"/>
      <c r="J147" s="2" t="str">
        <f>tblStock[[#This Row],[Modele Machine]]&amp;"|"&amp;tblStock[[#This Row],[Référence]]&amp;"|"&amp;tblStock[[#This Row],[Couleur]]&amp;"|"&amp;tblStock[[#This Row],[Type (Original/Compatible)]]</f>
        <v>|||</v>
      </c>
      <c r="K147" s="2"/>
      <c r="L147" s="2">
        <f>tblStock[[#This Row],[Stock_total_31_12_2025
Vendargues]]*tblStock[[#This Row],[Prix achat HT]]</f>
        <v>0</v>
      </c>
      <c r="M147" s="2"/>
      <c r="N147" s="2">
        <f>SUMIFS(tblSorties[Quantité],tblSorties[Cleprix],tblStock[[#This Row],[ClePrix]])</f>
        <v>0</v>
      </c>
      <c r="O147" s="2">
        <f>tblStock[[#This Row],[Stock_total_31_12_2025
Vendargues]]+tblStock[[#This Row],[Entrees_2026]]-tblStock[[#This Row],[Sorties_2026]]</f>
        <v>0</v>
      </c>
      <c r="P147" s="17">
        <f>tblStock[[#This Row],[Stock_Actuel]]*tblStock[[#This Row],[Prix achat HT]]</f>
        <v>0</v>
      </c>
    </row>
    <row r="148" spans="2:16" x14ac:dyDescent="0.25">
      <c r="B148" t="str">
        <f t="shared" si="4"/>
        <v>|</v>
      </c>
      <c r="C148" s="2"/>
      <c r="D148" s="2"/>
      <c r="E148" s="9"/>
      <c r="F148" s="2"/>
      <c r="G148" s="7"/>
      <c r="H148" s="2"/>
      <c r="J148" s="2" t="str">
        <f>tblStock[[#This Row],[Modele Machine]]&amp;"|"&amp;tblStock[[#This Row],[Référence]]&amp;"|"&amp;tblStock[[#This Row],[Couleur]]&amp;"|"&amp;tblStock[[#This Row],[Type (Original/Compatible)]]</f>
        <v>|||</v>
      </c>
      <c r="K148" s="2"/>
      <c r="L148" s="2">
        <f>tblStock[[#This Row],[Stock_total_31_12_2025
Vendargues]]*tblStock[[#This Row],[Prix achat HT]]</f>
        <v>0</v>
      </c>
      <c r="M148" s="2"/>
      <c r="N148" s="2">
        <f>SUMIFS(tblSorties[Quantité],tblSorties[Cleprix],tblStock[[#This Row],[ClePrix]])</f>
        <v>0</v>
      </c>
      <c r="O148" s="2">
        <f>tblStock[[#This Row],[Stock_total_31_12_2025
Vendargues]]+tblStock[[#This Row],[Entrees_2026]]-tblStock[[#This Row],[Sorties_2026]]</f>
        <v>0</v>
      </c>
      <c r="P148" s="17">
        <f>tblStock[[#This Row],[Stock_Actuel]]*tblStock[[#This Row],[Prix achat HT]]</f>
        <v>0</v>
      </c>
    </row>
    <row r="149" spans="2:16" x14ac:dyDescent="0.25">
      <c r="B149" t="str">
        <f t="shared" si="4"/>
        <v>|</v>
      </c>
      <c r="C149" s="2"/>
      <c r="D149" s="2"/>
      <c r="E149" s="9"/>
      <c r="F149" s="2"/>
      <c r="G149" s="7"/>
      <c r="H149" s="2"/>
      <c r="J149" s="2" t="str">
        <f>tblStock[[#This Row],[Modele Machine]]&amp;"|"&amp;tblStock[[#This Row],[Référence]]&amp;"|"&amp;tblStock[[#This Row],[Couleur]]&amp;"|"&amp;tblStock[[#This Row],[Type (Original/Compatible)]]</f>
        <v>|||</v>
      </c>
      <c r="K149" s="2"/>
      <c r="L149" s="2">
        <f>tblStock[[#This Row],[Stock_total_31_12_2025
Vendargues]]*tblStock[[#This Row],[Prix achat HT]]</f>
        <v>0</v>
      </c>
      <c r="M149" s="2"/>
      <c r="N149" s="2">
        <f>SUMIFS(tblSorties[Quantité],tblSorties[Cleprix],tblStock[[#This Row],[ClePrix]])</f>
        <v>0</v>
      </c>
      <c r="O149" s="2">
        <f>tblStock[[#This Row],[Stock_total_31_12_2025
Vendargues]]+tblStock[[#This Row],[Entrees_2026]]-tblStock[[#This Row],[Sorties_2026]]</f>
        <v>0</v>
      </c>
      <c r="P149" s="17">
        <f>tblStock[[#This Row],[Stock_Actuel]]*tblStock[[#This Row],[Prix achat HT]]</f>
        <v>0</v>
      </c>
    </row>
    <row r="150" spans="2:16" x14ac:dyDescent="0.25">
      <c r="B150" t="str">
        <f t="shared" si="4"/>
        <v>|</v>
      </c>
      <c r="C150" s="2"/>
      <c r="D150" s="2"/>
      <c r="E150" s="9"/>
      <c r="F150" s="2"/>
      <c r="G150" s="7"/>
      <c r="H150" s="2"/>
      <c r="J150" s="2" t="str">
        <f>tblStock[[#This Row],[Modele Machine]]&amp;"|"&amp;tblStock[[#This Row],[Référence]]&amp;"|"&amp;tblStock[[#This Row],[Couleur]]&amp;"|"&amp;tblStock[[#This Row],[Type (Original/Compatible)]]</f>
        <v>|||</v>
      </c>
      <c r="K150" s="2"/>
      <c r="L150" s="2">
        <f>tblStock[[#This Row],[Stock_total_31_12_2025
Vendargues]]*tblStock[[#This Row],[Prix achat HT]]</f>
        <v>0</v>
      </c>
      <c r="M150" s="2"/>
      <c r="N150" s="2">
        <f>SUMIFS(tblSorties[Quantité],tblSorties[Cleprix],tblStock[[#This Row],[ClePrix]])</f>
        <v>0</v>
      </c>
      <c r="O150" s="2">
        <f>tblStock[[#This Row],[Stock_total_31_12_2025
Vendargues]]+tblStock[[#This Row],[Entrees_2026]]-tblStock[[#This Row],[Sorties_2026]]</f>
        <v>0</v>
      </c>
      <c r="P150" s="17">
        <f>tblStock[[#This Row],[Stock_Actuel]]*tblStock[[#This Row],[Prix achat HT]]</f>
        <v>0</v>
      </c>
    </row>
    <row r="151" spans="2:16" x14ac:dyDescent="0.25">
      <c r="B151" t="str">
        <f t="shared" si="4"/>
        <v>|</v>
      </c>
      <c r="C151" s="2"/>
      <c r="D151" s="2"/>
      <c r="E151" s="9"/>
      <c r="F151" s="2"/>
      <c r="G151" s="7"/>
      <c r="H151" s="2"/>
      <c r="J151" s="2" t="str">
        <f>tblStock[[#This Row],[Modele Machine]]&amp;"|"&amp;tblStock[[#This Row],[Référence]]&amp;"|"&amp;tblStock[[#This Row],[Couleur]]&amp;"|"&amp;tblStock[[#This Row],[Type (Original/Compatible)]]</f>
        <v>|||</v>
      </c>
      <c r="K151" s="2"/>
      <c r="L151" s="2">
        <f>tblStock[[#This Row],[Stock_total_31_12_2025
Vendargues]]*tblStock[[#This Row],[Prix achat HT]]</f>
        <v>0</v>
      </c>
      <c r="M151" s="2"/>
      <c r="N151" s="2">
        <f>SUMIFS(tblSorties[Quantité],tblSorties[Cleprix],tblStock[[#This Row],[ClePrix]])</f>
        <v>0</v>
      </c>
      <c r="O151" s="2">
        <f>tblStock[[#This Row],[Stock_total_31_12_2025
Vendargues]]+tblStock[[#This Row],[Entrees_2026]]-tblStock[[#This Row],[Sorties_2026]]</f>
        <v>0</v>
      </c>
      <c r="P151" s="17">
        <f>tblStock[[#This Row],[Stock_Actuel]]*tblStock[[#This Row],[Prix achat HT]]</f>
        <v>0</v>
      </c>
    </row>
    <row r="152" spans="2:16" x14ac:dyDescent="0.25">
      <c r="B152" t="str">
        <f t="shared" si="4"/>
        <v>|</v>
      </c>
      <c r="C152" s="2"/>
      <c r="D152" s="2"/>
      <c r="E152" s="9"/>
      <c r="F152" s="2"/>
      <c r="G152" s="7"/>
      <c r="H152" s="2"/>
      <c r="J152" s="2" t="str">
        <f>tblStock[[#This Row],[Modele Machine]]&amp;"|"&amp;tblStock[[#This Row],[Référence]]&amp;"|"&amp;tblStock[[#This Row],[Couleur]]&amp;"|"&amp;tblStock[[#This Row],[Type (Original/Compatible)]]</f>
        <v>|||</v>
      </c>
      <c r="K152" s="2"/>
      <c r="L152" s="2">
        <f>tblStock[[#This Row],[Stock_total_31_12_2025
Vendargues]]*tblStock[[#This Row],[Prix achat HT]]</f>
        <v>0</v>
      </c>
      <c r="M152" s="2"/>
      <c r="N152" s="2">
        <f>SUMIFS(tblSorties[Quantité],tblSorties[Cleprix],tblStock[[#This Row],[ClePrix]])</f>
        <v>0</v>
      </c>
      <c r="O152" s="2">
        <f>tblStock[[#This Row],[Stock_total_31_12_2025
Vendargues]]+tblStock[[#This Row],[Entrees_2026]]-tblStock[[#This Row],[Sorties_2026]]</f>
        <v>0</v>
      </c>
      <c r="P152" s="17">
        <f>tblStock[[#This Row],[Stock_Actuel]]*tblStock[[#This Row],[Prix achat HT]]</f>
        <v>0</v>
      </c>
    </row>
    <row r="153" spans="2:16" x14ac:dyDescent="0.25">
      <c r="B153" t="str">
        <f t="shared" si="4"/>
        <v>|</v>
      </c>
      <c r="C153" s="2"/>
      <c r="D153" s="2"/>
      <c r="E153" s="9"/>
      <c r="F153" s="2"/>
      <c r="G153" s="7"/>
      <c r="H153" s="2"/>
      <c r="J153" s="2" t="str">
        <f>tblStock[[#This Row],[Modele Machine]]&amp;"|"&amp;tblStock[[#This Row],[Référence]]&amp;"|"&amp;tblStock[[#This Row],[Couleur]]&amp;"|"&amp;tblStock[[#This Row],[Type (Original/Compatible)]]</f>
        <v>|||</v>
      </c>
      <c r="K153" s="2"/>
      <c r="L153" s="2">
        <f>tblStock[[#This Row],[Stock_total_31_12_2025
Vendargues]]*tblStock[[#This Row],[Prix achat HT]]</f>
        <v>0</v>
      </c>
      <c r="M153" s="2"/>
      <c r="N153" s="2">
        <f>SUMIFS(tblSorties[Quantité],tblSorties[Cleprix],tblStock[[#This Row],[ClePrix]])</f>
        <v>0</v>
      </c>
      <c r="O153" s="2">
        <f>tblStock[[#This Row],[Stock_total_31_12_2025
Vendargues]]+tblStock[[#This Row],[Entrees_2026]]-tblStock[[#This Row],[Sorties_2026]]</f>
        <v>0</v>
      </c>
      <c r="P153" s="17">
        <f>tblStock[[#This Row],[Stock_Actuel]]*tblStock[[#This Row],[Prix achat HT]]</f>
        <v>0</v>
      </c>
    </row>
    <row r="154" spans="2:16" x14ac:dyDescent="0.25">
      <c r="B154" t="str">
        <f t="shared" si="4"/>
        <v>|</v>
      </c>
      <c r="C154" s="2"/>
      <c r="D154" s="2"/>
      <c r="E154" s="9"/>
      <c r="F154" s="2"/>
      <c r="G154" s="7"/>
      <c r="H154" s="2"/>
      <c r="J154" s="2" t="str">
        <f>tblStock[[#This Row],[Modele Machine]]&amp;"|"&amp;tblStock[[#This Row],[Référence]]&amp;"|"&amp;tblStock[[#This Row],[Couleur]]&amp;"|"&amp;tblStock[[#This Row],[Type (Original/Compatible)]]</f>
        <v>|||</v>
      </c>
      <c r="K154" s="2"/>
      <c r="L154" s="2">
        <f>tblStock[[#This Row],[Stock_total_31_12_2025
Vendargues]]*tblStock[[#This Row],[Prix achat HT]]</f>
        <v>0</v>
      </c>
      <c r="M154" s="2"/>
      <c r="N154" s="2">
        <f>SUMIFS(tblSorties[Quantité],tblSorties[Cleprix],tblStock[[#This Row],[ClePrix]])</f>
        <v>0</v>
      </c>
      <c r="O154" s="2">
        <f>tblStock[[#This Row],[Stock_total_31_12_2025
Vendargues]]+tblStock[[#This Row],[Entrees_2026]]-tblStock[[#This Row],[Sorties_2026]]</f>
        <v>0</v>
      </c>
      <c r="P154" s="17">
        <f>tblStock[[#This Row],[Stock_Actuel]]*tblStock[[#This Row],[Prix achat HT]]</f>
        <v>0</v>
      </c>
    </row>
    <row r="155" spans="2:16" x14ac:dyDescent="0.25">
      <c r="B155" t="str">
        <f t="shared" si="4"/>
        <v>|</v>
      </c>
      <c r="C155" s="2"/>
      <c r="D155" s="2"/>
      <c r="E155" s="9"/>
      <c r="F155" s="2"/>
      <c r="G155" s="7"/>
      <c r="H155" s="2"/>
      <c r="J155" s="2" t="str">
        <f>tblStock[[#This Row],[Modele Machine]]&amp;"|"&amp;tblStock[[#This Row],[Référence]]&amp;"|"&amp;tblStock[[#This Row],[Couleur]]&amp;"|"&amp;tblStock[[#This Row],[Type (Original/Compatible)]]</f>
        <v>|||</v>
      </c>
      <c r="K155" s="2"/>
      <c r="L155" s="2">
        <f>tblStock[[#This Row],[Stock_total_31_12_2025
Vendargues]]*tblStock[[#This Row],[Prix achat HT]]</f>
        <v>0</v>
      </c>
      <c r="M155" s="2"/>
      <c r="N155" s="2">
        <f>SUMIFS(tblSorties[Quantité],tblSorties[Cleprix],tblStock[[#This Row],[ClePrix]])</f>
        <v>0</v>
      </c>
      <c r="O155" s="2">
        <f>tblStock[[#This Row],[Stock_total_31_12_2025
Vendargues]]+tblStock[[#This Row],[Entrees_2026]]-tblStock[[#This Row],[Sorties_2026]]</f>
        <v>0</v>
      </c>
      <c r="P155" s="17">
        <f>tblStock[[#This Row],[Stock_Actuel]]*tblStock[[#This Row],[Prix achat HT]]</f>
        <v>0</v>
      </c>
    </row>
    <row r="156" spans="2:16" x14ac:dyDescent="0.25">
      <c r="B156" t="str">
        <f t="shared" si="4"/>
        <v>|</v>
      </c>
      <c r="C156" s="2"/>
      <c r="D156" s="2"/>
      <c r="E156" s="9"/>
      <c r="F156" s="2"/>
      <c r="G156" s="7"/>
      <c r="H156" s="2"/>
      <c r="J156" s="2" t="str">
        <f>tblStock[[#This Row],[Modele Machine]]&amp;"|"&amp;tblStock[[#This Row],[Référence]]&amp;"|"&amp;tblStock[[#This Row],[Couleur]]&amp;"|"&amp;tblStock[[#This Row],[Type (Original/Compatible)]]</f>
        <v>|||</v>
      </c>
      <c r="K156" s="2"/>
      <c r="L156" s="2">
        <f>tblStock[[#This Row],[Stock_total_31_12_2025
Vendargues]]*tblStock[[#This Row],[Prix achat HT]]</f>
        <v>0</v>
      </c>
      <c r="M156" s="2"/>
      <c r="N156" s="2">
        <f>SUMIFS(tblSorties[Quantité],tblSorties[Cleprix],tblStock[[#This Row],[ClePrix]])</f>
        <v>0</v>
      </c>
      <c r="O156" s="2">
        <f>tblStock[[#This Row],[Stock_total_31_12_2025
Vendargues]]+tblStock[[#This Row],[Entrees_2026]]-tblStock[[#This Row],[Sorties_2026]]</f>
        <v>0</v>
      </c>
      <c r="P156" s="17">
        <f>tblStock[[#This Row],[Stock_Actuel]]*tblStock[[#This Row],[Prix achat HT]]</f>
        <v>0</v>
      </c>
    </row>
    <row r="157" spans="2:16" x14ac:dyDescent="0.25">
      <c r="B157" t="str">
        <f t="shared" si="4"/>
        <v>|</v>
      </c>
      <c r="C157" s="2"/>
      <c r="D157" s="2"/>
      <c r="E157" s="9"/>
      <c r="F157" s="2"/>
      <c r="G157" s="7"/>
      <c r="H157" s="2"/>
      <c r="J157" s="2" t="str">
        <f>tblStock[[#This Row],[Modele Machine]]&amp;"|"&amp;tblStock[[#This Row],[Référence]]&amp;"|"&amp;tblStock[[#This Row],[Couleur]]&amp;"|"&amp;tblStock[[#This Row],[Type (Original/Compatible)]]</f>
        <v>|||</v>
      </c>
      <c r="K157" s="2"/>
      <c r="L157" s="2">
        <f>tblStock[[#This Row],[Stock_total_31_12_2025
Vendargues]]*tblStock[[#This Row],[Prix achat HT]]</f>
        <v>0</v>
      </c>
      <c r="M157" s="2"/>
      <c r="N157" s="2">
        <f>SUMIFS(tblSorties[Quantité],tblSorties[Cleprix],tblStock[[#This Row],[ClePrix]])</f>
        <v>0</v>
      </c>
      <c r="O157" s="2">
        <f>tblStock[[#This Row],[Stock_total_31_12_2025
Vendargues]]+tblStock[[#This Row],[Entrees_2026]]-tblStock[[#This Row],[Sorties_2026]]</f>
        <v>0</v>
      </c>
      <c r="P157" s="17">
        <f>tblStock[[#This Row],[Stock_Actuel]]*tblStock[[#This Row],[Prix achat HT]]</f>
        <v>0</v>
      </c>
    </row>
    <row r="158" spans="2:16" x14ac:dyDescent="0.25">
      <c r="B158" t="str">
        <f t="shared" si="4"/>
        <v>|</v>
      </c>
      <c r="C158" s="2"/>
      <c r="D158" s="2"/>
      <c r="E158" s="9"/>
      <c r="F158" s="2"/>
      <c r="G158" s="7"/>
      <c r="H158" s="2"/>
      <c r="J158" s="2" t="str">
        <f>tblStock[[#This Row],[Modele Machine]]&amp;"|"&amp;tblStock[[#This Row],[Référence]]&amp;"|"&amp;tblStock[[#This Row],[Couleur]]&amp;"|"&amp;tblStock[[#This Row],[Type (Original/Compatible)]]</f>
        <v>|||</v>
      </c>
      <c r="K158" s="2"/>
      <c r="L158" s="2">
        <f>tblStock[[#This Row],[Stock_total_31_12_2025
Vendargues]]*tblStock[[#This Row],[Prix achat HT]]</f>
        <v>0</v>
      </c>
      <c r="M158" s="2"/>
      <c r="N158" s="2">
        <f>SUMIFS(tblSorties[Quantité],tblSorties[Cleprix],tblStock[[#This Row],[ClePrix]])</f>
        <v>0</v>
      </c>
      <c r="O158" s="2">
        <f>tblStock[[#This Row],[Stock_total_31_12_2025
Vendargues]]+tblStock[[#This Row],[Entrees_2026]]-tblStock[[#This Row],[Sorties_2026]]</f>
        <v>0</v>
      </c>
      <c r="P158" s="17">
        <f>tblStock[[#This Row],[Stock_Actuel]]*tblStock[[#This Row],[Prix achat HT]]</f>
        <v>0</v>
      </c>
    </row>
    <row r="159" spans="2:16" x14ac:dyDescent="0.25">
      <c r="B159" t="str">
        <f t="shared" ref="B159:B164" si="5">C159&amp;"|"&amp;D159</f>
        <v>|</v>
      </c>
      <c r="C159" s="2"/>
      <c r="D159" s="2"/>
      <c r="E159" s="9"/>
      <c r="F159" s="2"/>
      <c r="G159" s="7"/>
      <c r="H159" s="2"/>
      <c r="J159" s="2" t="str">
        <f>tblStock[[#This Row],[Modele Machine]]&amp;"|"&amp;tblStock[[#This Row],[Référence]]&amp;"|"&amp;tblStock[[#This Row],[Couleur]]&amp;"|"&amp;tblStock[[#This Row],[Type (Original/Compatible)]]</f>
        <v>|||</v>
      </c>
      <c r="K159" s="2"/>
      <c r="L159" s="2">
        <f>tblStock[[#This Row],[Stock_total_31_12_2025
Vendargues]]*tblStock[[#This Row],[Prix achat HT]]</f>
        <v>0</v>
      </c>
      <c r="M159" s="2"/>
      <c r="N159" s="2">
        <f>SUMIFS(tblSorties[Quantité],tblSorties[Cleprix],tblStock[[#This Row],[ClePrix]])</f>
        <v>0</v>
      </c>
      <c r="O159" s="2">
        <f>tblStock[[#This Row],[Stock_total_31_12_2025
Vendargues]]+tblStock[[#This Row],[Entrees_2026]]-tblStock[[#This Row],[Sorties_2026]]</f>
        <v>0</v>
      </c>
      <c r="P159" s="17">
        <f>tblStock[[#This Row],[Stock_Actuel]]*tblStock[[#This Row],[Prix achat HT]]</f>
        <v>0</v>
      </c>
    </row>
    <row r="160" spans="2:16" x14ac:dyDescent="0.25">
      <c r="B160" t="str">
        <f t="shared" si="5"/>
        <v>|</v>
      </c>
      <c r="C160" s="2"/>
      <c r="D160" s="2"/>
      <c r="E160" s="9"/>
      <c r="F160" s="2"/>
      <c r="G160" s="7"/>
      <c r="H160" s="2"/>
      <c r="J160" s="2" t="str">
        <f>tblStock[[#This Row],[Modele Machine]]&amp;"|"&amp;tblStock[[#This Row],[Référence]]&amp;"|"&amp;tblStock[[#This Row],[Couleur]]&amp;"|"&amp;tblStock[[#This Row],[Type (Original/Compatible)]]</f>
        <v>|||</v>
      </c>
      <c r="K160" s="2"/>
      <c r="L160" s="2">
        <f>tblStock[[#This Row],[Stock_total_31_12_2025
Vendargues]]*tblStock[[#This Row],[Prix achat HT]]</f>
        <v>0</v>
      </c>
      <c r="M160" s="2"/>
      <c r="N160" s="2">
        <f>SUMIFS(tblSorties[Quantité],tblSorties[Cleprix],tblStock[[#This Row],[ClePrix]])</f>
        <v>0</v>
      </c>
      <c r="O160" s="2">
        <f>tblStock[[#This Row],[Stock_total_31_12_2025
Vendargues]]+tblStock[[#This Row],[Entrees_2026]]-tblStock[[#This Row],[Sorties_2026]]</f>
        <v>0</v>
      </c>
      <c r="P160" s="17">
        <f>tblStock[[#This Row],[Stock_Actuel]]*tblStock[[#This Row],[Prix achat HT]]</f>
        <v>0</v>
      </c>
    </row>
    <row r="161" spans="2:16" x14ac:dyDescent="0.25">
      <c r="B161" t="str">
        <f t="shared" si="5"/>
        <v>|</v>
      </c>
      <c r="C161" s="2"/>
      <c r="D161" s="2"/>
      <c r="E161" s="9"/>
      <c r="F161" s="2"/>
      <c r="G161" s="7"/>
      <c r="H161" s="2"/>
      <c r="J161" s="2" t="str">
        <f>tblStock[[#This Row],[Modele Machine]]&amp;"|"&amp;tblStock[[#This Row],[Référence]]&amp;"|"&amp;tblStock[[#This Row],[Couleur]]&amp;"|"&amp;tblStock[[#This Row],[Type (Original/Compatible)]]</f>
        <v>|||</v>
      </c>
      <c r="K161" s="2"/>
      <c r="L161" s="2">
        <f>tblStock[[#This Row],[Stock_total_31_12_2025
Vendargues]]*tblStock[[#This Row],[Prix achat HT]]</f>
        <v>0</v>
      </c>
      <c r="M161" s="2"/>
      <c r="N161" s="2">
        <f>SUMIFS(tblSorties[Quantité],tblSorties[Cleprix],tblStock[[#This Row],[ClePrix]])</f>
        <v>0</v>
      </c>
      <c r="O161" s="2">
        <f>tblStock[[#This Row],[Stock_total_31_12_2025
Vendargues]]+tblStock[[#This Row],[Entrees_2026]]-tblStock[[#This Row],[Sorties_2026]]</f>
        <v>0</v>
      </c>
      <c r="P161" s="17">
        <f>tblStock[[#This Row],[Stock_Actuel]]*tblStock[[#This Row],[Prix achat HT]]</f>
        <v>0</v>
      </c>
    </row>
    <row r="162" spans="2:16" x14ac:dyDescent="0.25">
      <c r="B162" t="str">
        <f t="shared" si="5"/>
        <v>|</v>
      </c>
      <c r="C162" s="2"/>
      <c r="D162" s="2"/>
      <c r="E162" s="9"/>
      <c r="F162" s="2"/>
      <c r="G162" s="7"/>
      <c r="H162" s="2"/>
      <c r="J162" s="2" t="str">
        <f>tblStock[[#This Row],[Modele Machine]]&amp;"|"&amp;tblStock[[#This Row],[Référence]]&amp;"|"&amp;tblStock[[#This Row],[Couleur]]&amp;"|"&amp;tblStock[[#This Row],[Type (Original/Compatible)]]</f>
        <v>|||</v>
      </c>
      <c r="K162" s="2"/>
      <c r="L162" s="2">
        <f>tblStock[[#This Row],[Stock_total_31_12_2025
Vendargues]]*tblStock[[#This Row],[Prix achat HT]]</f>
        <v>0</v>
      </c>
      <c r="M162" s="2"/>
      <c r="N162" s="2">
        <f>SUMIFS(tblSorties[Quantité],tblSorties[Cleprix],tblStock[[#This Row],[ClePrix]])</f>
        <v>0</v>
      </c>
      <c r="O162" s="2">
        <f>tblStock[[#This Row],[Stock_total_31_12_2025
Vendargues]]+tblStock[[#This Row],[Entrees_2026]]-tblStock[[#This Row],[Sorties_2026]]</f>
        <v>0</v>
      </c>
      <c r="P162" s="17">
        <f>tblStock[[#This Row],[Stock_Actuel]]*tblStock[[#This Row],[Prix achat HT]]</f>
        <v>0</v>
      </c>
    </row>
    <row r="163" spans="2:16" x14ac:dyDescent="0.25">
      <c r="B163" t="str">
        <f t="shared" si="5"/>
        <v>|</v>
      </c>
      <c r="C163" s="2"/>
      <c r="D163" s="2"/>
      <c r="E163" s="9"/>
      <c r="F163" s="2"/>
      <c r="G163" s="7"/>
      <c r="H163" s="2"/>
      <c r="J163" s="2" t="str">
        <f>tblStock[[#This Row],[Modele Machine]]&amp;"|"&amp;tblStock[[#This Row],[Référence]]&amp;"|"&amp;tblStock[[#This Row],[Couleur]]&amp;"|"&amp;tblStock[[#This Row],[Type (Original/Compatible)]]</f>
        <v>|||</v>
      </c>
      <c r="K163" s="2"/>
      <c r="L163" s="2">
        <f>tblStock[[#This Row],[Stock_total_31_12_2025
Vendargues]]*tblStock[[#This Row],[Prix achat HT]]</f>
        <v>0</v>
      </c>
      <c r="M163" s="2"/>
      <c r="N163" s="2">
        <f>SUMIFS(tblSorties[Quantité],tblSorties[Cleprix],tblStock[[#This Row],[ClePrix]])</f>
        <v>0</v>
      </c>
      <c r="O163" s="2">
        <f>tblStock[[#This Row],[Stock_total_31_12_2025
Vendargues]]+tblStock[[#This Row],[Entrees_2026]]-tblStock[[#This Row],[Sorties_2026]]</f>
        <v>0</v>
      </c>
      <c r="P163" s="17">
        <f>tblStock[[#This Row],[Stock_Actuel]]*tblStock[[#This Row],[Prix achat HT]]</f>
        <v>0</v>
      </c>
    </row>
    <row r="164" spans="2:16" x14ac:dyDescent="0.25">
      <c r="B164" t="str">
        <f t="shared" si="5"/>
        <v>|</v>
      </c>
      <c r="C164" s="2"/>
      <c r="D164" s="2"/>
      <c r="E164" s="9"/>
      <c r="F164" s="2"/>
      <c r="G164" s="7"/>
      <c r="H164" s="2"/>
      <c r="J164" s="2" t="str">
        <f>tblStock[[#This Row],[Modele Machine]]&amp;"|"&amp;tblStock[[#This Row],[Référence]]&amp;"|"&amp;tblStock[[#This Row],[Couleur]]&amp;"|"&amp;tblStock[[#This Row],[Type (Original/Compatible)]]</f>
        <v>|||</v>
      </c>
      <c r="K164" s="2"/>
      <c r="L164" s="2">
        <f>tblStock[[#This Row],[Stock_total_31_12_2025
Vendargues]]*tblStock[[#This Row],[Prix achat HT]]</f>
        <v>0</v>
      </c>
      <c r="M164" s="2"/>
      <c r="N164" s="2">
        <f>SUMIFS(tblSorties[Quantité],tblSorties[Cleprix],tblStock[[#This Row],[ClePrix]])</f>
        <v>0</v>
      </c>
      <c r="O164" s="2">
        <f>tblStock[[#This Row],[Stock_total_31_12_2025
Vendargues]]+tblStock[[#This Row],[Entrees_2026]]-tblStock[[#This Row],[Sorties_2026]]</f>
        <v>0</v>
      </c>
      <c r="P164" s="17">
        <f>tblStock[[#This Row],[Stock_Actuel]]*tblStock[[#This Row],[Prix achat HT]]</f>
        <v>0</v>
      </c>
    </row>
    <row r="165" spans="2:16" s="20" customFormat="1" ht="18.75" x14ac:dyDescent="0.3">
      <c r="C165" s="21"/>
      <c r="D165" s="21"/>
      <c r="E165" s="22"/>
      <c r="F165" s="21"/>
      <c r="G165" s="23"/>
      <c r="H165" s="21"/>
      <c r="J165" s="21"/>
      <c r="K165" s="21"/>
      <c r="L165" s="24">
        <f>SUBTOTAL(109,tblStock[valeur stock total 31/12/2025])</f>
        <v>16093.819999999994</v>
      </c>
      <c r="M165" s="21"/>
      <c r="N165" s="21"/>
      <c r="O165" s="21"/>
      <c r="P165" s="25">
        <f>SUBTOTAL(109,tblStock[Valeur_Stock_HT])</f>
        <v>12403.160000000003</v>
      </c>
    </row>
    <row r="166" spans="2:16" x14ac:dyDescent="0.25">
      <c r="C166" s="2"/>
      <c r="D166" s="2"/>
      <c r="E166" s="9"/>
      <c r="F166" s="2"/>
      <c r="G166" s="9"/>
      <c r="H166" s="2"/>
    </row>
    <row r="167" spans="2:16" x14ac:dyDescent="0.25">
      <c r="C167" s="2"/>
      <c r="D167" s="2"/>
      <c r="E167" s="9"/>
      <c r="F167" s="2"/>
      <c r="G167" s="9"/>
      <c r="H167" s="2"/>
    </row>
    <row r="168" spans="2:16" x14ac:dyDescent="0.25">
      <c r="C168" s="2"/>
      <c r="D168" s="2"/>
      <c r="E168" s="9"/>
      <c r="F168" s="2"/>
      <c r="G168" s="9"/>
      <c r="H168" s="2"/>
    </row>
    <row r="169" spans="2:16" x14ac:dyDescent="0.25">
      <c r="C169" s="2"/>
      <c r="D169" s="2"/>
      <c r="E169" s="9"/>
      <c r="F169" s="2"/>
      <c r="G169" s="9"/>
      <c r="H169" s="2"/>
    </row>
    <row r="170" spans="2:16" x14ac:dyDescent="0.25">
      <c r="C170" s="2"/>
      <c r="D170" s="2"/>
      <c r="E170" s="9"/>
      <c r="F170" s="2"/>
      <c r="G170" s="9"/>
      <c r="H170" s="2"/>
    </row>
    <row r="171" spans="2:16" x14ac:dyDescent="0.25">
      <c r="C171" s="2"/>
      <c r="D171" s="2"/>
      <c r="E171" s="9"/>
      <c r="F171" s="2"/>
      <c r="G171" s="9"/>
      <c r="H171" s="2"/>
    </row>
    <row r="172" spans="2:16" x14ac:dyDescent="0.25">
      <c r="C172" s="2"/>
      <c r="D172" s="2"/>
      <c r="E172" s="9"/>
      <c r="F172" s="2"/>
      <c r="G172" s="9"/>
      <c r="H172" s="2"/>
    </row>
    <row r="173" spans="2:16" x14ac:dyDescent="0.25">
      <c r="C173" s="2"/>
      <c r="D173" s="2"/>
      <c r="E173" s="9"/>
      <c r="F173" s="2"/>
      <c r="G173" s="9"/>
      <c r="H173" s="2"/>
    </row>
    <row r="174" spans="2:16" x14ac:dyDescent="0.25">
      <c r="C174" s="2"/>
      <c r="D174" s="2"/>
      <c r="E174" s="9"/>
      <c r="F174" s="2"/>
      <c r="G174" s="9"/>
      <c r="H174" s="2"/>
    </row>
    <row r="175" spans="2:16" x14ac:dyDescent="0.25">
      <c r="C175" s="2"/>
      <c r="D175" s="2"/>
      <c r="E175" s="9"/>
      <c r="F175" s="2"/>
      <c r="G175" s="9"/>
      <c r="H175" s="2"/>
    </row>
    <row r="176" spans="2:16" x14ac:dyDescent="0.25">
      <c r="C176" s="2"/>
      <c r="D176" s="2"/>
      <c r="E176" s="9"/>
      <c r="F176" s="2"/>
      <c r="G176" s="9"/>
      <c r="H176" s="2"/>
    </row>
    <row r="177" spans="3:8" x14ac:dyDescent="0.25">
      <c r="C177" s="2"/>
      <c r="D177" s="2"/>
      <c r="E177" s="9"/>
      <c r="F177" s="2"/>
      <c r="G177" s="9"/>
      <c r="H177" s="2"/>
    </row>
    <row r="178" spans="3:8" x14ac:dyDescent="0.25">
      <c r="C178" s="2"/>
      <c r="D178" s="2"/>
      <c r="E178" s="9"/>
      <c r="F178" s="2"/>
      <c r="G178" s="9"/>
      <c r="H178" s="2"/>
    </row>
    <row r="179" spans="3:8" x14ac:dyDescent="0.25">
      <c r="C179" s="2"/>
      <c r="D179" s="2"/>
      <c r="E179" s="9"/>
      <c r="F179" s="2"/>
      <c r="G179" s="9"/>
      <c r="H179" s="2"/>
    </row>
    <row r="180" spans="3:8" x14ac:dyDescent="0.25">
      <c r="C180" s="2"/>
      <c r="D180" s="2"/>
      <c r="E180" s="9"/>
      <c r="F180" s="2"/>
      <c r="G180" s="9"/>
      <c r="H180" s="2"/>
    </row>
    <row r="181" spans="3:8" x14ac:dyDescent="0.25">
      <c r="C181" s="2"/>
      <c r="D181" s="2"/>
      <c r="E181" s="9"/>
      <c r="F181" s="2"/>
      <c r="G181" s="9"/>
      <c r="H181" s="2"/>
    </row>
    <row r="182" spans="3:8" x14ac:dyDescent="0.25">
      <c r="C182" s="2"/>
      <c r="D182" s="2"/>
      <c r="E182" s="9"/>
      <c r="F182" s="2"/>
      <c r="G182" s="9"/>
      <c r="H182" s="2"/>
    </row>
    <row r="183" spans="3:8" x14ac:dyDescent="0.25">
      <c r="C183" s="2"/>
      <c r="D183" s="2"/>
      <c r="E183" s="9"/>
      <c r="F183" s="2"/>
      <c r="G183" s="9"/>
      <c r="H183" s="2"/>
    </row>
    <row r="184" spans="3:8" x14ac:dyDescent="0.25">
      <c r="C184" s="2"/>
      <c r="D184" s="2"/>
      <c r="E184" s="9"/>
      <c r="F184" s="2"/>
      <c r="G184" s="9"/>
      <c r="H184" s="2"/>
    </row>
    <row r="185" spans="3:8" x14ac:dyDescent="0.25">
      <c r="C185" s="2"/>
      <c r="D185" s="2"/>
      <c r="E185" s="9"/>
      <c r="F185" s="2"/>
      <c r="G185" s="9"/>
      <c r="H185" s="2"/>
    </row>
    <row r="186" spans="3:8" x14ac:dyDescent="0.25">
      <c r="C186" s="2"/>
      <c r="D186" s="2"/>
      <c r="E186" s="9"/>
      <c r="F186" s="2"/>
      <c r="G186" s="9"/>
      <c r="H186" s="2"/>
    </row>
    <row r="187" spans="3:8" x14ac:dyDescent="0.25">
      <c r="C187" s="2"/>
      <c r="D187" s="2"/>
      <c r="E187" s="9"/>
      <c r="F187" s="2"/>
      <c r="G187" s="9"/>
      <c r="H187" s="2"/>
    </row>
    <row r="188" spans="3:8" x14ac:dyDescent="0.25">
      <c r="C188" s="2"/>
      <c r="D188" s="2"/>
      <c r="E188" s="9"/>
      <c r="F188" s="2"/>
      <c r="G188" s="9"/>
      <c r="H188" s="2"/>
    </row>
    <row r="189" spans="3:8" x14ac:dyDescent="0.25">
      <c r="C189" s="2"/>
      <c r="D189" s="2"/>
      <c r="E189" s="9"/>
      <c r="F189" s="2"/>
      <c r="G189" s="9"/>
      <c r="H189" s="2"/>
    </row>
    <row r="190" spans="3:8" x14ac:dyDescent="0.25">
      <c r="C190" s="2"/>
      <c r="D190" s="2"/>
      <c r="E190" s="9"/>
      <c r="F190" s="2"/>
      <c r="G190" s="9"/>
      <c r="H190" s="2"/>
    </row>
    <row r="191" spans="3:8" x14ac:dyDescent="0.25">
      <c r="C191" s="2"/>
      <c r="D191" s="2"/>
      <c r="E191" s="9"/>
      <c r="F191" s="2"/>
      <c r="G191" s="9"/>
      <c r="H191" s="2"/>
    </row>
    <row r="192" spans="3:8" x14ac:dyDescent="0.25">
      <c r="C192" s="2"/>
      <c r="D192" s="2"/>
      <c r="E192" s="9"/>
      <c r="F192" s="2"/>
      <c r="G192" s="9"/>
      <c r="H192" s="2"/>
    </row>
    <row r="193" spans="3:8" x14ac:dyDescent="0.25">
      <c r="C193" s="2"/>
      <c r="D193" s="2"/>
      <c r="E193" s="9"/>
      <c r="F193" s="2"/>
      <c r="G193" s="9"/>
      <c r="H193" s="2"/>
    </row>
    <row r="194" spans="3:8" x14ac:dyDescent="0.25">
      <c r="C194" s="2"/>
      <c r="D194" s="2"/>
      <c r="E194" s="9"/>
      <c r="F194" s="2"/>
      <c r="G194" s="9"/>
      <c r="H194" s="2"/>
    </row>
    <row r="195" spans="3:8" x14ac:dyDescent="0.25">
      <c r="C195" s="2"/>
      <c r="D195" s="2"/>
      <c r="E195" s="9"/>
      <c r="F195" s="2"/>
      <c r="G195" s="9"/>
      <c r="H195" s="2"/>
    </row>
    <row r="196" spans="3:8" x14ac:dyDescent="0.25">
      <c r="C196" s="2"/>
      <c r="D196" s="2"/>
      <c r="E196" s="9"/>
      <c r="F196" s="2"/>
      <c r="G196" s="9"/>
      <c r="H196" s="2"/>
    </row>
    <row r="197" spans="3:8" x14ac:dyDescent="0.25">
      <c r="C197" s="2"/>
      <c r="D197" s="2"/>
      <c r="E197" s="9"/>
      <c r="F197" s="2"/>
      <c r="G197" s="9"/>
      <c r="H197" s="2"/>
    </row>
    <row r="198" spans="3:8" x14ac:dyDescent="0.25">
      <c r="C198" s="2"/>
      <c r="D198" s="2"/>
      <c r="E198" s="9"/>
      <c r="F198" s="2"/>
      <c r="G198" s="9"/>
      <c r="H198" s="2"/>
    </row>
    <row r="199" spans="3:8" x14ac:dyDescent="0.25">
      <c r="C199" s="2"/>
      <c r="D199" s="2"/>
      <c r="E199" s="9"/>
      <c r="F199" s="2"/>
      <c r="G199" s="9"/>
      <c r="H199" s="2"/>
    </row>
    <row r="200" spans="3:8" x14ac:dyDescent="0.25">
      <c r="C200" s="2"/>
      <c r="D200" s="2"/>
      <c r="E200" s="9"/>
      <c r="F200" s="2"/>
      <c r="G200" s="9"/>
      <c r="H200" s="2"/>
    </row>
    <row r="201" spans="3:8" x14ac:dyDescent="0.25">
      <c r="C201" s="2"/>
      <c r="D201" s="2"/>
      <c r="E201" s="9"/>
      <c r="F201" s="2"/>
      <c r="G201" s="9"/>
      <c r="H201" s="2"/>
    </row>
    <row r="202" spans="3:8" x14ac:dyDescent="0.25">
      <c r="C202" s="2"/>
      <c r="D202" s="2"/>
      <c r="E202" s="9"/>
      <c r="F202" s="2"/>
      <c r="G202" s="9"/>
      <c r="H202" s="2"/>
    </row>
    <row r="203" spans="3:8" x14ac:dyDescent="0.25">
      <c r="C203" s="2"/>
      <c r="D203" s="2"/>
      <c r="E203" s="9"/>
      <c r="F203" s="2"/>
      <c r="G203" s="9"/>
      <c r="H203" s="2"/>
    </row>
    <row r="204" spans="3:8" x14ac:dyDescent="0.25">
      <c r="C204" s="2"/>
      <c r="D204" s="2"/>
      <c r="E204" s="9"/>
      <c r="F204" s="2"/>
      <c r="G204" s="9"/>
      <c r="H204" s="2"/>
    </row>
    <row r="205" spans="3:8" x14ac:dyDescent="0.25">
      <c r="C205" s="2"/>
      <c r="D205" s="2"/>
      <c r="E205" s="9"/>
      <c r="F205" s="2"/>
      <c r="G205" s="9"/>
      <c r="H205" s="2"/>
    </row>
    <row r="206" spans="3:8" x14ac:dyDescent="0.25">
      <c r="C206" s="2"/>
      <c r="D206" s="2"/>
      <c r="E206" s="9"/>
      <c r="F206" s="2"/>
      <c r="G206" s="9"/>
      <c r="H206" s="2"/>
    </row>
    <row r="207" spans="3:8" x14ac:dyDescent="0.25">
      <c r="C207" s="2"/>
      <c r="D207" s="2"/>
      <c r="E207" s="9"/>
      <c r="F207" s="2"/>
      <c r="G207" s="9"/>
      <c r="H207" s="2"/>
    </row>
    <row r="208" spans="3:8" x14ac:dyDescent="0.25">
      <c r="C208" s="2"/>
      <c r="D208" s="2"/>
      <c r="E208" s="9"/>
      <c r="F208" s="2"/>
      <c r="G208" s="9"/>
      <c r="H208" s="2"/>
    </row>
    <row r="209" spans="3:8" x14ac:dyDescent="0.25">
      <c r="C209" s="2"/>
      <c r="D209" s="2"/>
      <c r="E209" s="9"/>
      <c r="F209" s="2"/>
      <c r="G209" s="9"/>
      <c r="H209" s="2"/>
    </row>
    <row r="210" spans="3:8" x14ac:dyDescent="0.25">
      <c r="C210" s="2"/>
      <c r="D210" s="2"/>
      <c r="E210" s="9"/>
      <c r="F210" s="2"/>
      <c r="G210" s="9"/>
      <c r="H210" s="2"/>
    </row>
    <row r="211" spans="3:8" x14ac:dyDescent="0.25">
      <c r="C211" s="2"/>
      <c r="D211" s="2"/>
      <c r="E211" s="9"/>
      <c r="F211" s="2"/>
      <c r="G211" s="9"/>
      <c r="H211" s="2"/>
    </row>
  </sheetData>
  <phoneticPr fontId="3" type="noConversion"/>
  <dataValidations count="1">
    <dataValidation type="list" allowBlank="1" sqref="D166:D210 D2:D164" xr:uid="{3C563C6C-13FC-4D91-8BE7-268BFA62F416}">
      <formula1>"Original,Compatible"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3"/>
  <sheetViews>
    <sheetView showGridLines="0" tabSelected="1" workbookViewId="0">
      <pane ySplit="1" topLeftCell="A17" activePane="bottomLeft" state="frozen"/>
      <selection pane="bottomLeft" activeCell="A42" sqref="A42"/>
    </sheetView>
  </sheetViews>
  <sheetFormatPr baseColWidth="10" defaultColWidth="9.140625" defaultRowHeight="15" x14ac:dyDescent="0.25"/>
  <cols>
    <col min="1" max="1" width="16.140625" bestFit="1" customWidth="1"/>
    <col min="2" max="2" width="33" customWidth="1"/>
    <col min="3" max="3" width="20.7109375" bestFit="1" customWidth="1"/>
    <col min="4" max="4" width="10.140625" customWidth="1"/>
    <col min="5" max="5" width="28.42578125" bestFit="1" customWidth="1"/>
    <col min="6" max="6" width="9" customWidth="1"/>
  </cols>
  <sheetData>
    <row r="1" spans="1:6" ht="24" customHeight="1" x14ac:dyDescent="0.25">
      <c r="A1" s="12" t="s">
        <v>6</v>
      </c>
      <c r="B1" s="12" t="s">
        <v>7</v>
      </c>
      <c r="C1" s="12" t="s">
        <v>8</v>
      </c>
      <c r="D1" s="12" t="s">
        <v>434</v>
      </c>
      <c r="E1" s="12" t="s">
        <v>9</v>
      </c>
      <c r="F1" s="14" t="s">
        <v>433</v>
      </c>
    </row>
    <row r="2" spans="1:6" x14ac:dyDescent="0.25">
      <c r="A2" s="2" t="s">
        <v>10</v>
      </c>
      <c r="B2" s="2" t="s">
        <v>11</v>
      </c>
      <c r="C2" s="2"/>
      <c r="D2" s="2" t="s">
        <v>333</v>
      </c>
      <c r="E2" s="2" t="s">
        <v>12</v>
      </c>
      <c r="F2" s="2" t="s">
        <v>13</v>
      </c>
    </row>
    <row r="3" spans="1:6" x14ac:dyDescent="0.25">
      <c r="A3" s="2" t="s">
        <v>14</v>
      </c>
      <c r="B3" s="2" t="s">
        <v>15</v>
      </c>
      <c r="C3" s="2"/>
      <c r="D3" s="2" t="s">
        <v>353</v>
      </c>
      <c r="E3" s="2" t="s">
        <v>435</v>
      </c>
      <c r="F3" s="2" t="s">
        <v>16</v>
      </c>
    </row>
    <row r="4" spans="1:6" x14ac:dyDescent="0.25">
      <c r="A4" s="2" t="s">
        <v>17</v>
      </c>
      <c r="B4" s="2" t="s">
        <v>18</v>
      </c>
      <c r="C4" s="2"/>
      <c r="D4" s="2" t="s">
        <v>394</v>
      </c>
      <c r="E4" s="2" t="s">
        <v>67</v>
      </c>
      <c r="F4" s="2" t="s">
        <v>19</v>
      </c>
    </row>
    <row r="5" spans="1:6" x14ac:dyDescent="0.25">
      <c r="A5" s="2" t="s">
        <v>20</v>
      </c>
      <c r="B5" s="2" t="s">
        <v>18</v>
      </c>
      <c r="C5" s="2"/>
      <c r="D5" s="2" t="s">
        <v>353</v>
      </c>
      <c r="E5" s="2" t="s">
        <v>501</v>
      </c>
      <c r="F5" s="2" t="s">
        <v>19</v>
      </c>
    </row>
    <row r="6" spans="1:6" x14ac:dyDescent="0.25">
      <c r="A6" s="2" t="s">
        <v>21</v>
      </c>
      <c r="B6" s="2" t="s">
        <v>22</v>
      </c>
      <c r="C6" s="2"/>
      <c r="D6" s="2" t="s">
        <v>353</v>
      </c>
      <c r="E6" s="2" t="s">
        <v>512</v>
      </c>
      <c r="F6" s="2" t="s">
        <v>23</v>
      </c>
    </row>
    <row r="7" spans="1:6" x14ac:dyDescent="0.25">
      <c r="A7" s="2" t="s">
        <v>24</v>
      </c>
      <c r="B7" s="2" t="s">
        <v>22</v>
      </c>
      <c r="C7" s="2"/>
      <c r="D7" s="2" t="s">
        <v>353</v>
      </c>
      <c r="E7" s="2" t="s">
        <v>506</v>
      </c>
      <c r="F7" s="2" t="s">
        <v>23</v>
      </c>
    </row>
    <row r="8" spans="1:6" x14ac:dyDescent="0.25">
      <c r="A8" s="2" t="s">
        <v>25</v>
      </c>
      <c r="B8" s="2" t="s">
        <v>22</v>
      </c>
      <c r="C8" s="2"/>
      <c r="D8" s="2" t="s">
        <v>394</v>
      </c>
      <c r="E8" s="2" t="s">
        <v>405</v>
      </c>
      <c r="F8" s="2" t="s">
        <v>23</v>
      </c>
    </row>
    <row r="9" spans="1:6" x14ac:dyDescent="0.25">
      <c r="A9" s="2" t="s">
        <v>26</v>
      </c>
      <c r="B9" s="2" t="s">
        <v>27</v>
      </c>
      <c r="C9" s="2" t="s">
        <v>436</v>
      </c>
      <c r="D9" s="2" t="s">
        <v>394</v>
      </c>
      <c r="E9" s="10" t="s">
        <v>414</v>
      </c>
      <c r="F9" s="2" t="s">
        <v>28</v>
      </c>
    </row>
    <row r="10" spans="1:6" x14ac:dyDescent="0.25">
      <c r="A10" s="2" t="s">
        <v>29</v>
      </c>
      <c r="B10" s="2" t="s">
        <v>27</v>
      </c>
      <c r="C10" s="2" t="s">
        <v>437</v>
      </c>
      <c r="D10" s="2" t="s">
        <v>394</v>
      </c>
      <c r="E10" s="10" t="s">
        <v>414</v>
      </c>
      <c r="F10" s="2" t="s">
        <v>28</v>
      </c>
    </row>
    <row r="11" spans="1:6" x14ac:dyDescent="0.25">
      <c r="A11" s="2" t="s">
        <v>30</v>
      </c>
      <c r="B11" s="2" t="s">
        <v>27</v>
      </c>
      <c r="C11" s="2" t="s">
        <v>438</v>
      </c>
      <c r="D11" s="2" t="s">
        <v>394</v>
      </c>
      <c r="E11" s="10" t="s">
        <v>414</v>
      </c>
      <c r="F11" s="2" t="s">
        <v>28</v>
      </c>
    </row>
    <row r="12" spans="1:6" x14ac:dyDescent="0.25">
      <c r="A12" s="2" t="s">
        <v>31</v>
      </c>
      <c r="B12" s="2" t="s">
        <v>27</v>
      </c>
      <c r="C12" s="2" t="s">
        <v>439</v>
      </c>
      <c r="D12" s="2" t="s">
        <v>394</v>
      </c>
      <c r="E12" s="10" t="s">
        <v>414</v>
      </c>
      <c r="F12" s="2" t="s">
        <v>28</v>
      </c>
    </row>
    <row r="13" spans="1:6" x14ac:dyDescent="0.25">
      <c r="A13" s="2" t="s">
        <v>32</v>
      </c>
      <c r="B13" s="2" t="s">
        <v>27</v>
      </c>
      <c r="C13" s="2" t="s">
        <v>440</v>
      </c>
      <c r="D13" s="2" t="s">
        <v>394</v>
      </c>
      <c r="E13" s="10" t="s">
        <v>414</v>
      </c>
      <c r="F13" s="2" t="s">
        <v>28</v>
      </c>
    </row>
    <row r="14" spans="1:6" x14ac:dyDescent="0.25">
      <c r="A14" s="2" t="s">
        <v>33</v>
      </c>
      <c r="B14" s="2" t="s">
        <v>27</v>
      </c>
      <c r="C14" s="2" t="s">
        <v>441</v>
      </c>
      <c r="D14" s="2" t="s">
        <v>394</v>
      </c>
      <c r="E14" s="10" t="s">
        <v>414</v>
      </c>
      <c r="F14" s="2" t="s">
        <v>28</v>
      </c>
    </row>
    <row r="15" spans="1:6" x14ac:dyDescent="0.25">
      <c r="A15" s="2" t="s">
        <v>34</v>
      </c>
      <c r="B15" s="2" t="s">
        <v>442</v>
      </c>
      <c r="C15" s="2" t="s">
        <v>443</v>
      </c>
      <c r="D15" s="2" t="s">
        <v>394</v>
      </c>
      <c r="E15" s="10" t="s">
        <v>414</v>
      </c>
      <c r="F15" s="2" t="s">
        <v>28</v>
      </c>
    </row>
    <row r="16" spans="1:6" x14ac:dyDescent="0.25">
      <c r="A16" s="2" t="s">
        <v>35</v>
      </c>
      <c r="B16" s="2" t="s">
        <v>27</v>
      </c>
      <c r="C16" s="2" t="s">
        <v>444</v>
      </c>
      <c r="D16" s="2" t="s">
        <v>333</v>
      </c>
      <c r="E16" s="2" t="s">
        <v>12</v>
      </c>
      <c r="F16" s="2" t="s">
        <v>28</v>
      </c>
    </row>
    <row r="17" spans="1:6" x14ac:dyDescent="0.25">
      <c r="A17" s="2" t="s">
        <v>36</v>
      </c>
      <c r="B17" s="2" t="s">
        <v>27</v>
      </c>
      <c r="C17" s="2" t="s">
        <v>445</v>
      </c>
      <c r="D17" s="2" t="s">
        <v>394</v>
      </c>
      <c r="E17" s="10" t="s">
        <v>414</v>
      </c>
      <c r="F17" s="2" t="s">
        <v>28</v>
      </c>
    </row>
    <row r="18" spans="1:6" x14ac:dyDescent="0.25">
      <c r="A18" s="2" t="s">
        <v>37</v>
      </c>
      <c r="B18" s="2" t="s">
        <v>466</v>
      </c>
      <c r="C18" s="2" t="s">
        <v>446</v>
      </c>
      <c r="D18" s="2" t="s">
        <v>394</v>
      </c>
      <c r="E18" s="2" t="s">
        <v>67</v>
      </c>
      <c r="F18" s="2" t="s">
        <v>38</v>
      </c>
    </row>
    <row r="19" spans="1:6" x14ac:dyDescent="0.25">
      <c r="A19" s="2" t="s">
        <v>39</v>
      </c>
      <c r="B19" s="2" t="s">
        <v>40</v>
      </c>
      <c r="C19" s="2"/>
      <c r="D19" s="2" t="s">
        <v>353</v>
      </c>
      <c r="E19" s="2" t="s">
        <v>507</v>
      </c>
      <c r="F19" s="2" t="s">
        <v>41</v>
      </c>
    </row>
    <row r="20" spans="1:6" x14ac:dyDescent="0.25">
      <c r="A20" s="2" t="s">
        <v>42</v>
      </c>
      <c r="B20" s="2" t="s">
        <v>40</v>
      </c>
      <c r="C20" s="2"/>
      <c r="D20" s="2" t="s">
        <v>353</v>
      </c>
      <c r="E20" s="2" t="s">
        <v>435</v>
      </c>
      <c r="F20" s="2" t="s">
        <v>41</v>
      </c>
    </row>
    <row r="21" spans="1:6" x14ac:dyDescent="0.25">
      <c r="A21" s="2" t="s">
        <v>43</v>
      </c>
      <c r="B21" s="2" t="s">
        <v>44</v>
      </c>
      <c r="C21" s="2"/>
      <c r="D21" s="2" t="s">
        <v>353</v>
      </c>
      <c r="E21" s="2" t="s">
        <v>508</v>
      </c>
      <c r="F21" s="2" t="s">
        <v>45</v>
      </c>
    </row>
    <row r="22" spans="1:6" x14ac:dyDescent="0.25">
      <c r="A22" s="2" t="s">
        <v>46</v>
      </c>
      <c r="B22" s="2" t="s">
        <v>47</v>
      </c>
      <c r="C22" s="2"/>
      <c r="D22" s="2" t="s">
        <v>353</v>
      </c>
      <c r="E22" s="2" t="s">
        <v>48</v>
      </c>
      <c r="F22" s="2" t="s">
        <v>49</v>
      </c>
    </row>
    <row r="23" spans="1:6" x14ac:dyDescent="0.25">
      <c r="A23" s="2" t="s">
        <v>50</v>
      </c>
      <c r="B23" s="2" t="s">
        <v>51</v>
      </c>
      <c r="C23" s="2"/>
      <c r="D23" s="2" t="s">
        <v>394</v>
      </c>
      <c r="E23" s="10" t="s">
        <v>500</v>
      </c>
      <c r="F23" s="2" t="s">
        <v>52</v>
      </c>
    </row>
    <row r="24" spans="1:6" x14ac:dyDescent="0.25">
      <c r="A24" s="2" t="s">
        <v>53</v>
      </c>
      <c r="B24" s="2" t="s">
        <v>51</v>
      </c>
      <c r="C24" s="2" t="s">
        <v>447</v>
      </c>
      <c r="D24" s="2" t="s">
        <v>394</v>
      </c>
      <c r="E24" s="10" t="s">
        <v>400</v>
      </c>
      <c r="F24" s="2" t="s">
        <v>52</v>
      </c>
    </row>
    <row r="25" spans="1:6" x14ac:dyDescent="0.25">
      <c r="A25" s="2" t="s">
        <v>54</v>
      </c>
      <c r="B25" s="2" t="s">
        <v>51</v>
      </c>
      <c r="C25" s="2"/>
      <c r="D25" s="2" t="s">
        <v>394</v>
      </c>
      <c r="E25" s="10" t="s">
        <v>400</v>
      </c>
      <c r="F25" s="2" t="s">
        <v>52</v>
      </c>
    </row>
    <row r="26" spans="1:6" x14ac:dyDescent="0.25">
      <c r="A26" s="2" t="s">
        <v>55</v>
      </c>
      <c r="B26" s="2" t="s">
        <v>56</v>
      </c>
      <c r="C26" s="2"/>
      <c r="D26" s="2" t="s">
        <v>333</v>
      </c>
      <c r="E26" s="2" t="s">
        <v>57</v>
      </c>
      <c r="F26" s="2" t="s">
        <v>58</v>
      </c>
    </row>
    <row r="27" spans="1:6" x14ac:dyDescent="0.25">
      <c r="A27" s="2" t="s">
        <v>59</v>
      </c>
      <c r="B27" s="2" t="s">
        <v>60</v>
      </c>
      <c r="C27" s="2"/>
      <c r="D27" s="2" t="s">
        <v>394</v>
      </c>
      <c r="E27" s="10" t="s">
        <v>414</v>
      </c>
      <c r="F27" s="2" t="s">
        <v>61</v>
      </c>
    </row>
    <row r="28" spans="1:6" x14ac:dyDescent="0.25">
      <c r="A28" s="2" t="s">
        <v>62</v>
      </c>
      <c r="B28" s="2" t="s">
        <v>63</v>
      </c>
      <c r="C28" s="2"/>
      <c r="D28" s="2" t="s">
        <v>353</v>
      </c>
      <c r="E28" s="2" t="s">
        <v>501</v>
      </c>
      <c r="F28" s="2" t="s">
        <v>64</v>
      </c>
    </row>
    <row r="29" spans="1:6" x14ac:dyDescent="0.25">
      <c r="A29" s="2" t="s">
        <v>65</v>
      </c>
      <c r="B29" s="2" t="s">
        <v>66</v>
      </c>
      <c r="C29" s="2"/>
      <c r="D29" s="2" t="s">
        <v>394</v>
      </c>
      <c r="E29" s="2" t="s">
        <v>67</v>
      </c>
      <c r="F29" s="2" t="s">
        <v>68</v>
      </c>
    </row>
    <row r="30" spans="1:6" x14ac:dyDescent="0.25">
      <c r="A30" s="2" t="s">
        <v>69</v>
      </c>
      <c r="B30" s="2" t="s">
        <v>70</v>
      </c>
      <c r="C30" s="2"/>
      <c r="D30" s="2" t="s">
        <v>353</v>
      </c>
      <c r="E30" s="2" t="s">
        <v>71</v>
      </c>
      <c r="F30" s="2" t="s">
        <v>72</v>
      </c>
    </row>
    <row r="31" spans="1:6" x14ac:dyDescent="0.25">
      <c r="A31" s="2" t="s">
        <v>73</v>
      </c>
      <c r="B31" s="2" t="s">
        <v>70</v>
      </c>
      <c r="C31" s="2"/>
      <c r="D31" s="2" t="s">
        <v>333</v>
      </c>
      <c r="E31" s="2" t="s">
        <v>12</v>
      </c>
      <c r="F31" s="2" t="s">
        <v>72</v>
      </c>
    </row>
    <row r="32" spans="1:6" x14ac:dyDescent="0.25">
      <c r="A32" s="2" t="s">
        <v>74</v>
      </c>
      <c r="B32" s="2" t="s">
        <v>75</v>
      </c>
      <c r="C32" s="2"/>
      <c r="D32" s="2" t="s">
        <v>353</v>
      </c>
      <c r="E32" s="2" t="s">
        <v>513</v>
      </c>
      <c r="F32" s="2" t="s">
        <v>76</v>
      </c>
    </row>
    <row r="33" spans="1:6" x14ac:dyDescent="0.25">
      <c r="A33" s="2" t="s">
        <v>77</v>
      </c>
      <c r="B33" s="2" t="s">
        <v>75</v>
      </c>
      <c r="C33" s="2"/>
      <c r="D33" s="2" t="s">
        <v>353</v>
      </c>
      <c r="E33" s="2" t="s">
        <v>448</v>
      </c>
      <c r="F33" s="2" t="s">
        <v>76</v>
      </c>
    </row>
    <row r="34" spans="1:6" x14ac:dyDescent="0.25">
      <c r="A34" s="2" t="s">
        <v>78</v>
      </c>
      <c r="B34" s="2" t="s">
        <v>449</v>
      </c>
      <c r="C34" s="2"/>
      <c r="D34" s="2" t="s">
        <v>353</v>
      </c>
      <c r="E34" s="2" t="s">
        <v>501</v>
      </c>
      <c r="F34" s="2" t="s">
        <v>79</v>
      </c>
    </row>
    <row r="35" spans="1:6" x14ac:dyDescent="0.25">
      <c r="A35" s="2" t="s">
        <v>80</v>
      </c>
      <c r="B35" s="2" t="s">
        <v>81</v>
      </c>
      <c r="C35" s="2"/>
      <c r="D35" s="2" t="s">
        <v>353</v>
      </c>
      <c r="E35" s="2" t="s">
        <v>508</v>
      </c>
      <c r="F35" s="2" t="s">
        <v>82</v>
      </c>
    </row>
    <row r="36" spans="1:6" x14ac:dyDescent="0.25">
      <c r="A36" s="2" t="s">
        <v>83</v>
      </c>
      <c r="B36" s="2" t="s">
        <v>84</v>
      </c>
      <c r="C36" s="2"/>
      <c r="D36" s="2" t="s">
        <v>426</v>
      </c>
      <c r="E36" s="2" t="s">
        <v>465</v>
      </c>
      <c r="F36" s="2" t="s">
        <v>85</v>
      </c>
    </row>
    <row r="37" spans="1:6" x14ac:dyDescent="0.25">
      <c r="A37" s="2" t="s">
        <v>86</v>
      </c>
      <c r="B37" s="2" t="s">
        <v>84</v>
      </c>
      <c r="C37" s="2" t="s">
        <v>450</v>
      </c>
      <c r="D37" s="2" t="s">
        <v>353</v>
      </c>
      <c r="E37" s="2" t="s">
        <v>501</v>
      </c>
      <c r="F37" s="2" t="s">
        <v>85</v>
      </c>
    </row>
    <row r="38" spans="1:6" x14ac:dyDescent="0.25">
      <c r="A38" s="2" t="s">
        <v>87</v>
      </c>
      <c r="B38" s="2" t="s">
        <v>84</v>
      </c>
      <c r="C38" s="2" t="s">
        <v>451</v>
      </c>
      <c r="D38" s="2" t="s">
        <v>394</v>
      </c>
      <c r="E38" s="10" t="s">
        <v>500</v>
      </c>
      <c r="F38" s="2" t="s">
        <v>85</v>
      </c>
    </row>
    <row r="39" spans="1:6" x14ac:dyDescent="0.25">
      <c r="A39" s="2" t="s">
        <v>88</v>
      </c>
      <c r="B39" s="2" t="s">
        <v>84</v>
      </c>
      <c r="C39" s="2" t="s">
        <v>452</v>
      </c>
      <c r="D39" s="2" t="s">
        <v>394</v>
      </c>
      <c r="E39" s="10" t="s">
        <v>398</v>
      </c>
      <c r="F39" s="2" t="s">
        <v>85</v>
      </c>
    </row>
    <row r="40" spans="1:6" x14ac:dyDescent="0.25">
      <c r="A40" s="2" t="s">
        <v>89</v>
      </c>
      <c r="B40" s="2" t="s">
        <v>84</v>
      </c>
      <c r="C40" s="2" t="s">
        <v>453</v>
      </c>
      <c r="D40" s="2" t="s">
        <v>394</v>
      </c>
      <c r="E40" s="2" t="s">
        <v>454</v>
      </c>
      <c r="F40" s="2" t="s">
        <v>85</v>
      </c>
    </row>
    <row r="41" spans="1:6" x14ac:dyDescent="0.25">
      <c r="A41" s="2" t="s">
        <v>90</v>
      </c>
      <c r="B41" s="2" t="s">
        <v>84</v>
      </c>
      <c r="C41" s="2" t="s">
        <v>455</v>
      </c>
      <c r="D41" s="2" t="s">
        <v>394</v>
      </c>
      <c r="E41" s="2" t="s">
        <v>454</v>
      </c>
      <c r="F41" s="2" t="s">
        <v>85</v>
      </c>
    </row>
    <row r="42" spans="1:6" x14ac:dyDescent="0.25">
      <c r="A42" s="2" t="s">
        <v>91</v>
      </c>
      <c r="B42" s="2" t="s">
        <v>84</v>
      </c>
      <c r="C42" s="2" t="s">
        <v>456</v>
      </c>
      <c r="D42" s="2" t="s">
        <v>394</v>
      </c>
      <c r="E42" s="2" t="s">
        <v>454</v>
      </c>
      <c r="F42" s="2" t="s">
        <v>85</v>
      </c>
    </row>
    <row r="43" spans="1:6" x14ac:dyDescent="0.25">
      <c r="A43" s="2" t="s">
        <v>92</v>
      </c>
      <c r="B43" s="2" t="s">
        <v>93</v>
      </c>
      <c r="C43" s="2"/>
      <c r="D43" s="2" t="s">
        <v>353</v>
      </c>
      <c r="E43" s="2" t="s">
        <v>513</v>
      </c>
      <c r="F43" s="2" t="s">
        <v>94</v>
      </c>
    </row>
    <row r="44" spans="1:6" x14ac:dyDescent="0.25">
      <c r="A44" s="2" t="s">
        <v>95</v>
      </c>
      <c r="B44" s="2" t="s">
        <v>96</v>
      </c>
      <c r="C44" s="2"/>
      <c r="D44" s="2" t="s">
        <v>353</v>
      </c>
      <c r="E44" s="2" t="s">
        <v>501</v>
      </c>
      <c r="F44" s="2" t="s">
        <v>97</v>
      </c>
    </row>
    <row r="45" spans="1:6" x14ac:dyDescent="0.25">
      <c r="A45" s="2" t="s">
        <v>98</v>
      </c>
      <c r="B45" s="2" t="s">
        <v>99</v>
      </c>
      <c r="C45" s="2"/>
      <c r="D45" s="2" t="s">
        <v>333</v>
      </c>
      <c r="E45" s="2" t="s">
        <v>457</v>
      </c>
      <c r="F45" s="2" t="s">
        <v>100</v>
      </c>
    </row>
    <row r="46" spans="1:6" x14ac:dyDescent="0.25">
      <c r="A46" s="2" t="s">
        <v>101</v>
      </c>
      <c r="B46" s="2" t="s">
        <v>102</v>
      </c>
      <c r="C46" s="2"/>
      <c r="D46" s="2" t="s">
        <v>333</v>
      </c>
      <c r="E46" s="2" t="s">
        <v>12</v>
      </c>
      <c r="F46" s="2" t="s">
        <v>103</v>
      </c>
    </row>
    <row r="47" spans="1:6" x14ac:dyDescent="0.25">
      <c r="A47" s="2" t="s">
        <v>104</v>
      </c>
      <c r="B47" s="2" t="s">
        <v>105</v>
      </c>
      <c r="C47" s="2"/>
      <c r="D47" s="2" t="s">
        <v>353</v>
      </c>
      <c r="E47" s="2" t="s">
        <v>508</v>
      </c>
      <c r="F47" s="2" t="s">
        <v>106</v>
      </c>
    </row>
    <row r="48" spans="1:6" x14ac:dyDescent="0.25">
      <c r="A48" s="2" t="s">
        <v>107</v>
      </c>
      <c r="B48" s="2" t="s">
        <v>108</v>
      </c>
      <c r="C48" s="2"/>
      <c r="D48" s="2" t="s">
        <v>394</v>
      </c>
      <c r="E48" s="10" t="s">
        <v>500</v>
      </c>
      <c r="F48" s="2" t="s">
        <v>109</v>
      </c>
    </row>
    <row r="49" spans="1:6" x14ac:dyDescent="0.25">
      <c r="A49" s="2" t="s">
        <v>110</v>
      </c>
      <c r="B49" s="2" t="s">
        <v>111</v>
      </c>
      <c r="C49" s="2"/>
      <c r="D49" s="2" t="s">
        <v>353</v>
      </c>
      <c r="E49" s="2" t="s">
        <v>501</v>
      </c>
      <c r="F49" s="2" t="s">
        <v>112</v>
      </c>
    </row>
    <row r="50" spans="1:6" x14ac:dyDescent="0.25">
      <c r="A50" s="2" t="s">
        <v>113</v>
      </c>
      <c r="B50" s="2" t="s">
        <v>114</v>
      </c>
      <c r="C50" s="2"/>
      <c r="D50" s="2"/>
      <c r="E50" s="2" t="s">
        <v>115</v>
      </c>
      <c r="F50" s="2" t="s">
        <v>116</v>
      </c>
    </row>
    <row r="51" spans="1:6" x14ac:dyDescent="0.25">
      <c r="A51" s="2" t="s">
        <v>117</v>
      </c>
      <c r="B51" s="2" t="s">
        <v>118</v>
      </c>
      <c r="C51" s="2"/>
      <c r="D51" s="2" t="s">
        <v>353</v>
      </c>
      <c r="E51" s="2" t="s">
        <v>513</v>
      </c>
      <c r="F51" s="2" t="s">
        <v>119</v>
      </c>
    </row>
    <row r="52" spans="1:6" x14ac:dyDescent="0.25">
      <c r="A52" s="2" t="s">
        <v>120</v>
      </c>
      <c r="B52" s="2" t="s">
        <v>121</v>
      </c>
      <c r="C52" s="2"/>
      <c r="D52" s="2" t="s">
        <v>333</v>
      </c>
      <c r="E52" s="2" t="s">
        <v>12</v>
      </c>
      <c r="F52" s="2" t="s">
        <v>122</v>
      </c>
    </row>
    <row r="53" spans="1:6" x14ac:dyDescent="0.25">
      <c r="A53" s="2" t="s">
        <v>123</v>
      </c>
      <c r="B53" s="2" t="s">
        <v>124</v>
      </c>
      <c r="C53" s="2"/>
      <c r="D53" s="2" t="s">
        <v>394</v>
      </c>
      <c r="E53" s="2" t="s">
        <v>276</v>
      </c>
      <c r="F53" s="2" t="s">
        <v>125</v>
      </c>
    </row>
    <row r="54" spans="1:6" x14ac:dyDescent="0.25">
      <c r="A54" s="2" t="s">
        <v>126</v>
      </c>
      <c r="B54" s="2" t="s">
        <v>127</v>
      </c>
      <c r="C54" s="2"/>
      <c r="D54" s="2" t="s">
        <v>353</v>
      </c>
      <c r="E54" s="2" t="s">
        <v>467</v>
      </c>
      <c r="F54" s="2" t="s">
        <v>128</v>
      </c>
    </row>
    <row r="55" spans="1:6" x14ac:dyDescent="0.25">
      <c r="A55" s="2" t="s">
        <v>129</v>
      </c>
      <c r="B55" s="2" t="s">
        <v>130</v>
      </c>
      <c r="C55" s="2"/>
      <c r="D55" s="2" t="s">
        <v>394</v>
      </c>
      <c r="E55" s="2" t="s">
        <v>276</v>
      </c>
      <c r="F55" s="2" t="s">
        <v>131</v>
      </c>
    </row>
    <row r="56" spans="1:6" x14ac:dyDescent="0.25">
      <c r="A56" s="2" t="s">
        <v>132</v>
      </c>
      <c r="B56" s="2" t="s">
        <v>133</v>
      </c>
      <c r="C56" s="2"/>
      <c r="D56" s="2" t="s">
        <v>394</v>
      </c>
      <c r="E56" s="2" t="s">
        <v>276</v>
      </c>
      <c r="F56" s="2" t="s">
        <v>134</v>
      </c>
    </row>
    <row r="57" spans="1:6" x14ac:dyDescent="0.25">
      <c r="A57" s="2" t="s">
        <v>135</v>
      </c>
      <c r="B57" s="2" t="s">
        <v>136</v>
      </c>
      <c r="C57" s="2"/>
      <c r="D57" s="2" t="s">
        <v>333</v>
      </c>
      <c r="E57" s="2" t="s">
        <v>12</v>
      </c>
      <c r="F57" s="2" t="s">
        <v>137</v>
      </c>
    </row>
    <row r="58" spans="1:6" x14ac:dyDescent="0.25">
      <c r="A58" s="2" t="s">
        <v>138</v>
      </c>
      <c r="B58" s="2" t="s">
        <v>136</v>
      </c>
      <c r="C58" s="2"/>
      <c r="D58" s="2" t="s">
        <v>353</v>
      </c>
      <c r="E58" s="2" t="s">
        <v>508</v>
      </c>
      <c r="F58" s="2" t="s">
        <v>137</v>
      </c>
    </row>
    <row r="59" spans="1:6" x14ac:dyDescent="0.25">
      <c r="A59" s="2" t="s">
        <v>139</v>
      </c>
      <c r="B59" s="2" t="s">
        <v>140</v>
      </c>
      <c r="C59" s="2"/>
      <c r="D59" s="2" t="s">
        <v>333</v>
      </c>
      <c r="E59" s="2" t="s">
        <v>12</v>
      </c>
      <c r="F59" s="2" t="s">
        <v>141</v>
      </c>
    </row>
    <row r="60" spans="1:6" x14ac:dyDescent="0.25">
      <c r="A60" s="2" t="s">
        <v>142</v>
      </c>
      <c r="B60" s="2" t="s">
        <v>143</v>
      </c>
      <c r="C60" s="2"/>
      <c r="D60" s="2" t="s">
        <v>333</v>
      </c>
      <c r="E60" s="2" t="s">
        <v>12</v>
      </c>
      <c r="F60" s="2" t="s">
        <v>141</v>
      </c>
    </row>
    <row r="61" spans="1:6" x14ac:dyDescent="0.25">
      <c r="A61" s="2" t="s">
        <v>144</v>
      </c>
      <c r="B61" s="2" t="s">
        <v>145</v>
      </c>
      <c r="C61" s="2"/>
      <c r="D61" s="2" t="s">
        <v>353</v>
      </c>
      <c r="E61" s="2" t="s">
        <v>513</v>
      </c>
      <c r="F61" s="2" t="s">
        <v>146</v>
      </c>
    </row>
    <row r="62" spans="1:6" x14ac:dyDescent="0.25">
      <c r="A62" s="2" t="s">
        <v>147</v>
      </c>
      <c r="B62" s="2" t="s">
        <v>148</v>
      </c>
      <c r="C62" s="2"/>
      <c r="D62" s="2" t="s">
        <v>353</v>
      </c>
      <c r="E62" s="2" t="s">
        <v>501</v>
      </c>
      <c r="F62" s="2" t="s">
        <v>149</v>
      </c>
    </row>
    <row r="63" spans="1:6" x14ac:dyDescent="0.25">
      <c r="A63" s="2" t="s">
        <v>150</v>
      </c>
      <c r="B63" s="2" t="s">
        <v>151</v>
      </c>
      <c r="C63" s="2"/>
      <c r="D63" s="2" t="s">
        <v>333</v>
      </c>
      <c r="E63" s="2" t="s">
        <v>12</v>
      </c>
      <c r="F63" s="2" t="s">
        <v>152</v>
      </c>
    </row>
    <row r="64" spans="1:6" x14ac:dyDescent="0.25">
      <c r="A64" s="2" t="s">
        <v>153</v>
      </c>
      <c r="B64" s="2" t="s">
        <v>154</v>
      </c>
      <c r="C64" s="2"/>
      <c r="D64" s="2"/>
      <c r="E64" s="2" t="s">
        <v>155</v>
      </c>
      <c r="F64" s="2" t="s">
        <v>156</v>
      </c>
    </row>
    <row r="65" spans="1:6" x14ac:dyDescent="0.25">
      <c r="A65" s="2" t="s">
        <v>157</v>
      </c>
      <c r="B65" s="2" t="s">
        <v>154</v>
      </c>
      <c r="C65" s="2"/>
      <c r="D65" s="2" t="s">
        <v>333</v>
      </c>
      <c r="E65" s="2" t="s">
        <v>12</v>
      </c>
      <c r="F65" s="2" t="s">
        <v>156</v>
      </c>
    </row>
    <row r="66" spans="1:6" x14ac:dyDescent="0.25">
      <c r="A66" s="2" t="s">
        <v>158</v>
      </c>
      <c r="B66" s="2" t="s">
        <v>159</v>
      </c>
      <c r="C66" s="2"/>
      <c r="D66" s="2" t="s">
        <v>394</v>
      </c>
      <c r="E66" s="10" t="s">
        <v>414</v>
      </c>
      <c r="F66" s="2" t="s">
        <v>160</v>
      </c>
    </row>
    <row r="67" spans="1:6" x14ac:dyDescent="0.25">
      <c r="A67" s="2" t="s">
        <v>161</v>
      </c>
      <c r="B67" s="2" t="s">
        <v>162</v>
      </c>
      <c r="C67" s="2"/>
      <c r="D67" s="2" t="s">
        <v>353</v>
      </c>
      <c r="E67" s="2" t="s">
        <v>508</v>
      </c>
      <c r="F67" s="2" t="s">
        <v>163</v>
      </c>
    </row>
    <row r="68" spans="1:6" x14ac:dyDescent="0.25">
      <c r="A68" s="2" t="s">
        <v>164</v>
      </c>
      <c r="B68" s="2" t="s">
        <v>165</v>
      </c>
      <c r="C68" s="2"/>
      <c r="D68" s="2" t="s">
        <v>353</v>
      </c>
      <c r="E68" s="2" t="s">
        <v>71</v>
      </c>
      <c r="F68" s="2" t="s">
        <v>166</v>
      </c>
    </row>
    <row r="69" spans="1:6" x14ac:dyDescent="0.25">
      <c r="A69" s="2" t="s">
        <v>167</v>
      </c>
      <c r="B69" s="2" t="s">
        <v>168</v>
      </c>
      <c r="C69" s="2"/>
      <c r="D69" s="2"/>
      <c r="E69" s="2" t="s">
        <v>458</v>
      </c>
      <c r="F69" s="2" t="s">
        <v>169</v>
      </c>
    </row>
    <row r="70" spans="1:6" x14ac:dyDescent="0.25">
      <c r="A70" s="2" t="s">
        <v>170</v>
      </c>
      <c r="B70" s="2" t="s">
        <v>171</v>
      </c>
      <c r="C70" s="2"/>
      <c r="D70" s="2" t="s">
        <v>353</v>
      </c>
      <c r="E70" s="2" t="s">
        <v>501</v>
      </c>
      <c r="F70" s="2" t="s">
        <v>172</v>
      </c>
    </row>
    <row r="71" spans="1:6" x14ac:dyDescent="0.25">
      <c r="A71" s="2" t="s">
        <v>173</v>
      </c>
      <c r="B71" s="2" t="s">
        <v>171</v>
      </c>
      <c r="C71" s="2"/>
      <c r="D71" s="2" t="s">
        <v>353</v>
      </c>
      <c r="E71" s="2" t="s">
        <v>512</v>
      </c>
      <c r="F71" s="2" t="s">
        <v>172</v>
      </c>
    </row>
    <row r="72" spans="1:6" x14ac:dyDescent="0.25">
      <c r="A72" s="2" t="s">
        <v>174</v>
      </c>
      <c r="B72" s="2" t="s">
        <v>175</v>
      </c>
      <c r="C72" s="2"/>
      <c r="D72" s="2" t="s">
        <v>330</v>
      </c>
      <c r="E72" s="2" t="s">
        <v>264</v>
      </c>
      <c r="F72" s="2" t="s">
        <v>176</v>
      </c>
    </row>
    <row r="73" spans="1:6" x14ac:dyDescent="0.25">
      <c r="A73" s="2" t="s">
        <v>177</v>
      </c>
      <c r="B73" s="2" t="s">
        <v>178</v>
      </c>
      <c r="C73" s="2"/>
      <c r="D73" s="2" t="s">
        <v>394</v>
      </c>
      <c r="E73" s="2" t="s">
        <v>179</v>
      </c>
      <c r="F73" s="2" t="s">
        <v>180</v>
      </c>
    </row>
    <row r="74" spans="1:6" x14ac:dyDescent="0.25">
      <c r="A74" s="2" t="s">
        <v>181</v>
      </c>
      <c r="B74" s="2" t="s">
        <v>178</v>
      </c>
      <c r="C74" s="2"/>
      <c r="D74" s="2" t="s">
        <v>394</v>
      </c>
      <c r="E74" s="2" t="s">
        <v>67</v>
      </c>
      <c r="F74" s="2" t="s">
        <v>180</v>
      </c>
    </row>
    <row r="75" spans="1:6" x14ac:dyDescent="0.25">
      <c r="A75" s="2" t="s">
        <v>182</v>
      </c>
      <c r="B75" s="2" t="s">
        <v>183</v>
      </c>
      <c r="C75" s="2"/>
      <c r="D75" s="2" t="s">
        <v>353</v>
      </c>
      <c r="E75" s="2" t="s">
        <v>508</v>
      </c>
      <c r="F75" s="2" t="s">
        <v>184</v>
      </c>
    </row>
    <row r="76" spans="1:6" x14ac:dyDescent="0.25">
      <c r="A76" s="2" t="s">
        <v>185</v>
      </c>
      <c r="B76" s="2" t="s">
        <v>186</v>
      </c>
      <c r="C76" s="2"/>
      <c r="D76" s="2" t="s">
        <v>394</v>
      </c>
      <c r="E76" s="2" t="s">
        <v>67</v>
      </c>
      <c r="F76" s="2" t="s">
        <v>187</v>
      </c>
    </row>
    <row r="77" spans="1:6" x14ac:dyDescent="0.25">
      <c r="A77" s="2" t="s">
        <v>188</v>
      </c>
      <c r="B77" s="2" t="s">
        <v>186</v>
      </c>
      <c r="C77" s="2"/>
      <c r="D77" s="2" t="s">
        <v>333</v>
      </c>
      <c r="E77" s="2" t="s">
        <v>457</v>
      </c>
      <c r="F77" s="2" t="s">
        <v>187</v>
      </c>
    </row>
    <row r="78" spans="1:6" x14ac:dyDescent="0.25">
      <c r="A78" s="2" t="s">
        <v>189</v>
      </c>
      <c r="B78" s="2" t="s">
        <v>190</v>
      </c>
      <c r="C78" s="2"/>
      <c r="D78" s="2" t="s">
        <v>353</v>
      </c>
      <c r="E78" s="2" t="s">
        <v>513</v>
      </c>
      <c r="F78" s="2" t="s">
        <v>191</v>
      </c>
    </row>
    <row r="79" spans="1:6" x14ac:dyDescent="0.25">
      <c r="A79" s="2" t="s">
        <v>192</v>
      </c>
      <c r="B79" s="2" t="s">
        <v>193</v>
      </c>
      <c r="C79" s="2"/>
      <c r="D79" s="2" t="s">
        <v>333</v>
      </c>
      <c r="E79" s="2" t="s">
        <v>57</v>
      </c>
      <c r="F79" s="2" t="s">
        <v>194</v>
      </c>
    </row>
    <row r="80" spans="1:6" x14ac:dyDescent="0.25">
      <c r="A80" s="2" t="s">
        <v>195</v>
      </c>
      <c r="B80" s="2" t="s">
        <v>196</v>
      </c>
      <c r="C80" s="2"/>
      <c r="D80" s="2" t="s">
        <v>353</v>
      </c>
      <c r="E80" s="2" t="s">
        <v>507</v>
      </c>
      <c r="F80" s="2" t="s">
        <v>197</v>
      </c>
    </row>
    <row r="81" spans="1:6" x14ac:dyDescent="0.25">
      <c r="A81" s="2" t="s">
        <v>198</v>
      </c>
      <c r="B81" s="2" t="s">
        <v>199</v>
      </c>
      <c r="C81" s="2"/>
      <c r="D81" s="2" t="s">
        <v>333</v>
      </c>
      <c r="E81" s="2" t="s">
        <v>12</v>
      </c>
      <c r="F81" s="2" t="s">
        <v>200</v>
      </c>
    </row>
    <row r="82" spans="1:6" x14ac:dyDescent="0.25">
      <c r="A82" s="2" t="s">
        <v>201</v>
      </c>
      <c r="B82" s="2" t="s">
        <v>459</v>
      </c>
      <c r="C82" s="2"/>
      <c r="D82" s="2" t="s">
        <v>333</v>
      </c>
      <c r="E82" s="2" t="s">
        <v>12</v>
      </c>
      <c r="F82" s="2" t="s">
        <v>202</v>
      </c>
    </row>
    <row r="83" spans="1:6" x14ac:dyDescent="0.25">
      <c r="A83" s="2" t="s">
        <v>203</v>
      </c>
      <c r="B83" s="2" t="s">
        <v>459</v>
      </c>
      <c r="C83" s="2"/>
      <c r="D83" s="2" t="s">
        <v>333</v>
      </c>
      <c r="E83" s="2" t="s">
        <v>457</v>
      </c>
      <c r="F83" s="2" t="s">
        <v>202</v>
      </c>
    </row>
    <row r="84" spans="1:6" x14ac:dyDescent="0.25">
      <c r="A84" s="2" t="s">
        <v>204</v>
      </c>
      <c r="B84" s="2" t="s">
        <v>205</v>
      </c>
      <c r="C84" s="2"/>
      <c r="D84" s="2" t="s">
        <v>353</v>
      </c>
      <c r="E84" s="2" t="s">
        <v>71</v>
      </c>
      <c r="F84" s="2" t="s">
        <v>206</v>
      </c>
    </row>
    <row r="85" spans="1:6" x14ac:dyDescent="0.25">
      <c r="A85" s="2" t="s">
        <v>207</v>
      </c>
      <c r="B85" s="2" t="s">
        <v>208</v>
      </c>
      <c r="C85" s="2"/>
      <c r="D85" s="2" t="s">
        <v>394</v>
      </c>
      <c r="E85" s="2" t="s">
        <v>67</v>
      </c>
      <c r="F85" s="2" t="s">
        <v>209</v>
      </c>
    </row>
    <row r="86" spans="1:6" x14ac:dyDescent="0.25">
      <c r="A86" s="2" t="s">
        <v>210</v>
      </c>
      <c r="B86" s="2" t="s">
        <v>208</v>
      </c>
      <c r="C86" s="2"/>
      <c r="D86" s="2" t="s">
        <v>394</v>
      </c>
      <c r="E86" s="2" t="s">
        <v>67</v>
      </c>
      <c r="F86" s="2" t="s">
        <v>209</v>
      </c>
    </row>
    <row r="87" spans="1:6" x14ac:dyDescent="0.25">
      <c r="A87" s="2" t="s">
        <v>211</v>
      </c>
      <c r="B87" s="2" t="s">
        <v>208</v>
      </c>
      <c r="C87" s="2"/>
      <c r="D87" s="2" t="s">
        <v>394</v>
      </c>
      <c r="E87" s="2" t="s">
        <v>67</v>
      </c>
      <c r="F87" s="2" t="s">
        <v>209</v>
      </c>
    </row>
    <row r="88" spans="1:6" x14ac:dyDescent="0.25">
      <c r="A88" s="2" t="s">
        <v>212</v>
      </c>
      <c r="B88" s="2" t="s">
        <v>213</v>
      </c>
      <c r="C88" s="2"/>
      <c r="D88" s="2" t="s">
        <v>353</v>
      </c>
      <c r="E88" s="2" t="s">
        <v>501</v>
      </c>
      <c r="F88" s="2" t="s">
        <v>214</v>
      </c>
    </row>
    <row r="89" spans="1:6" x14ac:dyDescent="0.25">
      <c r="A89" s="2" t="s">
        <v>215</v>
      </c>
      <c r="B89" s="2" t="s">
        <v>216</v>
      </c>
      <c r="C89" s="2"/>
      <c r="D89" s="2" t="s">
        <v>353</v>
      </c>
      <c r="E89" s="2" t="s">
        <v>513</v>
      </c>
      <c r="F89" s="2" t="s">
        <v>217</v>
      </c>
    </row>
    <row r="90" spans="1:6" x14ac:dyDescent="0.25">
      <c r="A90" s="2" t="s">
        <v>218</v>
      </c>
      <c r="B90" s="2" t="s">
        <v>216</v>
      </c>
      <c r="C90" s="2"/>
      <c r="D90" s="2" t="s">
        <v>353</v>
      </c>
      <c r="E90" s="2" t="s">
        <v>501</v>
      </c>
      <c r="F90" s="2" t="s">
        <v>217</v>
      </c>
    </row>
    <row r="91" spans="1:6" x14ac:dyDescent="0.25">
      <c r="A91" s="2" t="s">
        <v>219</v>
      </c>
      <c r="B91" s="2" t="s">
        <v>216</v>
      </c>
      <c r="C91" s="2"/>
      <c r="D91" s="2" t="s">
        <v>353</v>
      </c>
      <c r="E91" s="2" t="s">
        <v>501</v>
      </c>
      <c r="F91" s="2" t="s">
        <v>217</v>
      </c>
    </row>
    <row r="92" spans="1:6" x14ac:dyDescent="0.25">
      <c r="A92" s="2" t="s">
        <v>220</v>
      </c>
      <c r="B92" s="2" t="s">
        <v>216</v>
      </c>
      <c r="C92" s="2" t="s">
        <v>460</v>
      </c>
      <c r="D92" s="2" t="s">
        <v>353</v>
      </c>
      <c r="E92" s="2" t="s">
        <v>501</v>
      </c>
      <c r="F92" s="2" t="s">
        <v>217</v>
      </c>
    </row>
    <row r="93" spans="1:6" x14ac:dyDescent="0.25">
      <c r="A93" s="2" t="s">
        <v>221</v>
      </c>
      <c r="B93" s="2" t="s">
        <v>222</v>
      </c>
      <c r="C93" s="2"/>
      <c r="D93" s="2" t="s">
        <v>333</v>
      </c>
      <c r="E93" s="2" t="s">
        <v>12</v>
      </c>
      <c r="F93" s="2" t="s">
        <v>223</v>
      </c>
    </row>
    <row r="94" spans="1:6" x14ac:dyDescent="0.25">
      <c r="A94" s="2" t="s">
        <v>517</v>
      </c>
      <c r="B94" s="26" t="s">
        <v>222</v>
      </c>
      <c r="C94" s="26"/>
      <c r="D94" s="26" t="s">
        <v>333</v>
      </c>
      <c r="E94" s="26" t="s">
        <v>12</v>
      </c>
      <c r="F94" s="2" t="s">
        <v>223</v>
      </c>
    </row>
    <row r="95" spans="1:6" x14ac:dyDescent="0.25">
      <c r="A95" s="2" t="s">
        <v>224</v>
      </c>
      <c r="B95" s="2" t="s">
        <v>225</v>
      </c>
      <c r="C95" s="2"/>
      <c r="D95" s="2" t="s">
        <v>353</v>
      </c>
      <c r="E95" s="2" t="s">
        <v>501</v>
      </c>
      <c r="F95" s="2" t="s">
        <v>226</v>
      </c>
    </row>
    <row r="96" spans="1:6" x14ac:dyDescent="0.25">
      <c r="A96" s="2" t="s">
        <v>227</v>
      </c>
      <c r="B96" s="2" t="s">
        <v>228</v>
      </c>
      <c r="C96" s="2"/>
      <c r="D96" s="2" t="s">
        <v>353</v>
      </c>
      <c r="E96" s="2" t="s">
        <v>48</v>
      </c>
      <c r="F96" s="2" t="s">
        <v>229</v>
      </c>
    </row>
    <row r="97" spans="1:6" x14ac:dyDescent="0.25">
      <c r="A97" s="2" t="s">
        <v>230</v>
      </c>
      <c r="B97" s="2" t="s">
        <v>228</v>
      </c>
      <c r="C97" s="2"/>
      <c r="D97" s="2" t="s">
        <v>394</v>
      </c>
      <c r="E97" s="2" t="s">
        <v>276</v>
      </c>
      <c r="F97" s="2" t="s">
        <v>229</v>
      </c>
    </row>
    <row r="98" spans="1:6" x14ac:dyDescent="0.25">
      <c r="A98" s="2" t="s">
        <v>231</v>
      </c>
      <c r="B98" s="2" t="s">
        <v>228</v>
      </c>
      <c r="C98" s="2"/>
      <c r="D98" s="2" t="s">
        <v>394</v>
      </c>
      <c r="E98" s="2" t="s">
        <v>276</v>
      </c>
      <c r="F98" s="2" t="s">
        <v>229</v>
      </c>
    </row>
    <row r="99" spans="1:6" x14ac:dyDescent="0.25">
      <c r="A99" s="2" t="s">
        <v>232</v>
      </c>
      <c r="B99" s="2" t="s">
        <v>228</v>
      </c>
      <c r="C99" s="2"/>
      <c r="D99" s="2" t="s">
        <v>394</v>
      </c>
      <c r="E99" s="2" t="s">
        <v>276</v>
      </c>
      <c r="F99" s="2" t="s">
        <v>229</v>
      </c>
    </row>
    <row r="100" spans="1:6" x14ac:dyDescent="0.25">
      <c r="A100" s="2" t="s">
        <v>233</v>
      </c>
      <c r="B100" s="2" t="s">
        <v>228</v>
      </c>
      <c r="C100" s="2"/>
      <c r="D100" s="2" t="s">
        <v>394</v>
      </c>
      <c r="E100" s="2" t="s">
        <v>276</v>
      </c>
      <c r="F100" s="2" t="s">
        <v>229</v>
      </c>
    </row>
    <row r="101" spans="1:6" x14ac:dyDescent="0.25">
      <c r="A101" s="2" t="s">
        <v>234</v>
      </c>
      <c r="B101" s="2" t="s">
        <v>228</v>
      </c>
      <c r="C101" s="2" t="s">
        <v>461</v>
      </c>
      <c r="D101" s="2" t="s">
        <v>353</v>
      </c>
      <c r="E101" s="2" t="s">
        <v>501</v>
      </c>
      <c r="F101" s="2" t="s">
        <v>229</v>
      </c>
    </row>
    <row r="102" spans="1:6" x14ac:dyDescent="0.25">
      <c r="A102" s="2" t="s">
        <v>235</v>
      </c>
      <c r="B102" s="2" t="s">
        <v>236</v>
      </c>
      <c r="C102" s="2"/>
      <c r="D102" s="2" t="s">
        <v>333</v>
      </c>
      <c r="E102" s="2" t="s">
        <v>457</v>
      </c>
      <c r="F102" s="2" t="s">
        <v>237</v>
      </c>
    </row>
    <row r="103" spans="1:6" x14ac:dyDescent="0.25">
      <c r="A103" s="2" t="s">
        <v>510</v>
      </c>
      <c r="B103" s="26" t="s">
        <v>511</v>
      </c>
      <c r="C103" s="26"/>
      <c r="D103" s="26" t="s">
        <v>353</v>
      </c>
      <c r="E103" s="2" t="s">
        <v>501</v>
      </c>
      <c r="F103" s="11">
        <v>999</v>
      </c>
    </row>
    <row r="104" spans="1:6" x14ac:dyDescent="0.25">
      <c r="A104" s="2" t="s">
        <v>238</v>
      </c>
      <c r="B104" s="2" t="s">
        <v>239</v>
      </c>
      <c r="C104" s="2"/>
      <c r="D104" s="2" t="s">
        <v>353</v>
      </c>
      <c r="E104" s="2" t="s">
        <v>501</v>
      </c>
      <c r="F104" s="2" t="s">
        <v>240</v>
      </c>
    </row>
    <row r="105" spans="1:6" x14ac:dyDescent="0.25">
      <c r="A105" s="2" t="s">
        <v>241</v>
      </c>
      <c r="B105" s="2" t="s">
        <v>242</v>
      </c>
      <c r="C105" s="2"/>
      <c r="D105" s="2" t="s">
        <v>353</v>
      </c>
      <c r="E105" s="2" t="s">
        <v>508</v>
      </c>
      <c r="F105" s="2" t="s">
        <v>243</v>
      </c>
    </row>
    <row r="106" spans="1:6" x14ac:dyDescent="0.25">
      <c r="A106" s="2" t="s">
        <v>244</v>
      </c>
      <c r="B106" s="2" t="s">
        <v>245</v>
      </c>
      <c r="C106" s="2"/>
      <c r="D106" s="2" t="s">
        <v>353</v>
      </c>
      <c r="E106" s="2" t="s">
        <v>508</v>
      </c>
      <c r="F106" s="2" t="s">
        <v>246</v>
      </c>
    </row>
    <row r="107" spans="1:6" x14ac:dyDescent="0.25">
      <c r="A107" s="2" t="s">
        <v>247</v>
      </c>
      <c r="B107" s="2" t="s">
        <v>248</v>
      </c>
      <c r="C107" s="2"/>
      <c r="D107" s="2" t="s">
        <v>394</v>
      </c>
      <c r="E107" s="10" t="s">
        <v>500</v>
      </c>
      <c r="F107" s="2" t="s">
        <v>249</v>
      </c>
    </row>
    <row r="108" spans="1:6" x14ac:dyDescent="0.25">
      <c r="A108" s="2" t="s">
        <v>250</v>
      </c>
      <c r="B108" s="2" t="s">
        <v>251</v>
      </c>
      <c r="C108" s="2"/>
      <c r="D108" s="2" t="s">
        <v>394</v>
      </c>
      <c r="E108" s="10" t="s">
        <v>414</v>
      </c>
      <c r="F108" s="2" t="s">
        <v>252</v>
      </c>
    </row>
    <row r="109" spans="1:6" x14ac:dyDescent="0.25">
      <c r="A109" s="2" t="s">
        <v>253</v>
      </c>
      <c r="B109" s="2" t="s">
        <v>254</v>
      </c>
      <c r="C109" s="2"/>
      <c r="D109" s="2" t="s">
        <v>394</v>
      </c>
      <c r="E109" s="2" t="s">
        <v>462</v>
      </c>
      <c r="F109" s="2" t="s">
        <v>255</v>
      </c>
    </row>
    <row r="110" spans="1:6" x14ac:dyDescent="0.25">
      <c r="A110" s="2" t="s">
        <v>256</v>
      </c>
      <c r="B110" s="2" t="s">
        <v>257</v>
      </c>
      <c r="C110" s="2"/>
      <c r="D110" s="2" t="s">
        <v>353</v>
      </c>
      <c r="E110" s="2" t="s">
        <v>501</v>
      </c>
      <c r="F110" s="2" t="s">
        <v>258</v>
      </c>
    </row>
    <row r="111" spans="1:6" x14ac:dyDescent="0.25">
      <c r="A111" s="2" t="s">
        <v>259</v>
      </c>
      <c r="B111" s="2" t="s">
        <v>260</v>
      </c>
      <c r="C111" s="2"/>
      <c r="D111" s="2" t="s">
        <v>353</v>
      </c>
      <c r="E111" s="2" t="s">
        <v>448</v>
      </c>
      <c r="F111" s="2" t="s">
        <v>261</v>
      </c>
    </row>
    <row r="112" spans="1:6" x14ac:dyDescent="0.25">
      <c r="A112" s="2" t="s">
        <v>262</v>
      </c>
      <c r="B112" s="2" t="s">
        <v>263</v>
      </c>
      <c r="C112" s="2"/>
      <c r="D112" s="2" t="s">
        <v>330</v>
      </c>
      <c r="E112" s="2" t="s">
        <v>264</v>
      </c>
      <c r="F112" s="2" t="s">
        <v>265</v>
      </c>
    </row>
    <row r="113" spans="1:6" x14ac:dyDescent="0.25">
      <c r="A113" s="2" t="s">
        <v>266</v>
      </c>
      <c r="B113" s="2" t="s">
        <v>267</v>
      </c>
      <c r="C113" s="2"/>
      <c r="D113" s="2" t="s">
        <v>353</v>
      </c>
      <c r="E113" s="2" t="s">
        <v>463</v>
      </c>
      <c r="F113" s="2" t="s">
        <v>268</v>
      </c>
    </row>
    <row r="114" spans="1:6" x14ac:dyDescent="0.25">
      <c r="A114" s="2" t="s">
        <v>269</v>
      </c>
      <c r="B114" s="2" t="s">
        <v>267</v>
      </c>
      <c r="C114" s="2"/>
      <c r="D114" s="2" t="s">
        <v>353</v>
      </c>
      <c r="E114" s="2" t="s">
        <v>71</v>
      </c>
      <c r="F114" s="2" t="s">
        <v>268</v>
      </c>
    </row>
    <row r="115" spans="1:6" x14ac:dyDescent="0.25">
      <c r="A115" s="2" t="s">
        <v>270</v>
      </c>
      <c r="B115" s="2" t="s">
        <v>267</v>
      </c>
      <c r="C115" s="2"/>
      <c r="D115" s="2" t="s">
        <v>353</v>
      </c>
      <c r="E115" s="2" t="s">
        <v>463</v>
      </c>
      <c r="F115" s="2" t="s">
        <v>268</v>
      </c>
    </row>
    <row r="116" spans="1:6" x14ac:dyDescent="0.25">
      <c r="A116" s="2" t="s">
        <v>271</v>
      </c>
      <c r="B116" s="2" t="s">
        <v>272</v>
      </c>
      <c r="C116" s="2"/>
      <c r="D116" s="2" t="s">
        <v>353</v>
      </c>
      <c r="E116" s="2" t="s">
        <v>508</v>
      </c>
      <c r="F116" s="2" t="s">
        <v>273</v>
      </c>
    </row>
    <row r="117" spans="1:6" x14ac:dyDescent="0.25">
      <c r="A117" s="2" t="s">
        <v>274</v>
      </c>
      <c r="B117" s="2" t="s">
        <v>275</v>
      </c>
      <c r="C117" s="2"/>
      <c r="D117" s="2" t="s">
        <v>394</v>
      </c>
      <c r="E117" s="2" t="s">
        <v>276</v>
      </c>
      <c r="F117" s="2" t="s">
        <v>277</v>
      </c>
    </row>
    <row r="118" spans="1:6" x14ac:dyDescent="0.25">
      <c r="A118" s="2" t="s">
        <v>278</v>
      </c>
      <c r="B118" s="2" t="s">
        <v>279</v>
      </c>
      <c r="C118" s="2"/>
      <c r="D118" s="2" t="s">
        <v>353</v>
      </c>
      <c r="E118" s="2" t="s">
        <v>501</v>
      </c>
      <c r="F118" s="2" t="s">
        <v>280</v>
      </c>
    </row>
    <row r="119" spans="1:6" x14ac:dyDescent="0.25">
      <c r="A119" s="2" t="s">
        <v>281</v>
      </c>
      <c r="B119" s="2" t="s">
        <v>282</v>
      </c>
      <c r="C119" s="2"/>
      <c r="D119" s="2" t="s">
        <v>394</v>
      </c>
      <c r="E119" s="10" t="s">
        <v>414</v>
      </c>
      <c r="F119" s="2" t="s">
        <v>283</v>
      </c>
    </row>
    <row r="120" spans="1:6" x14ac:dyDescent="0.25">
      <c r="A120" s="2" t="s">
        <v>284</v>
      </c>
      <c r="B120" s="2" t="s">
        <v>285</v>
      </c>
      <c r="C120" s="2"/>
      <c r="D120" s="2" t="s">
        <v>353</v>
      </c>
      <c r="E120" s="2" t="s">
        <v>513</v>
      </c>
      <c r="F120" s="2" t="s">
        <v>286</v>
      </c>
    </row>
    <row r="121" spans="1:6" x14ac:dyDescent="0.25">
      <c r="A121" s="2" t="s">
        <v>287</v>
      </c>
      <c r="B121" s="2" t="s">
        <v>285</v>
      </c>
      <c r="C121" s="2"/>
      <c r="D121" s="2" t="s">
        <v>353</v>
      </c>
      <c r="E121" s="2" t="s">
        <v>513</v>
      </c>
      <c r="F121" s="2" t="s">
        <v>286</v>
      </c>
    </row>
    <row r="122" spans="1:6" x14ac:dyDescent="0.25">
      <c r="A122" s="2" t="s">
        <v>288</v>
      </c>
      <c r="B122" s="2" t="s">
        <v>464</v>
      </c>
      <c r="C122" s="2"/>
      <c r="D122" s="2" t="s">
        <v>394</v>
      </c>
      <c r="E122" s="10" t="s">
        <v>500</v>
      </c>
      <c r="F122" s="2" t="s">
        <v>289</v>
      </c>
    </row>
    <row r="123" spans="1:6" x14ac:dyDescent="0.25">
      <c r="A123" s="2" t="s">
        <v>290</v>
      </c>
      <c r="B123" s="2" t="s">
        <v>291</v>
      </c>
      <c r="C123" s="2"/>
      <c r="D123" s="2" t="s">
        <v>394</v>
      </c>
      <c r="E123" s="2" t="s">
        <v>276</v>
      </c>
      <c r="F123" s="2" t="s">
        <v>292</v>
      </c>
    </row>
    <row r="124" spans="1:6" x14ac:dyDescent="0.25">
      <c r="A124" s="2" t="s">
        <v>293</v>
      </c>
      <c r="B124" s="2" t="s">
        <v>294</v>
      </c>
      <c r="C124" s="2"/>
      <c r="D124" s="2" t="s">
        <v>333</v>
      </c>
      <c r="E124" s="2" t="s">
        <v>457</v>
      </c>
      <c r="F124" s="2" t="s">
        <v>295</v>
      </c>
    </row>
    <row r="125" spans="1:6" x14ac:dyDescent="0.25">
      <c r="A125" s="2" t="s">
        <v>296</v>
      </c>
      <c r="B125" s="2" t="s">
        <v>294</v>
      </c>
      <c r="C125" s="2"/>
      <c r="D125" s="2" t="s">
        <v>333</v>
      </c>
      <c r="E125" s="2" t="s">
        <v>457</v>
      </c>
      <c r="F125" s="2" t="s">
        <v>295</v>
      </c>
    </row>
    <row r="126" spans="1:6" x14ac:dyDescent="0.25">
      <c r="A126" s="2" t="s">
        <v>297</v>
      </c>
      <c r="B126" s="2" t="s">
        <v>298</v>
      </c>
      <c r="C126" s="2"/>
      <c r="D126" s="2" t="s">
        <v>353</v>
      </c>
      <c r="E126" s="2" t="s">
        <v>501</v>
      </c>
      <c r="F126" s="2" t="s">
        <v>299</v>
      </c>
    </row>
    <row r="127" spans="1:6" x14ac:dyDescent="0.25">
      <c r="A127" s="2" t="s">
        <v>300</v>
      </c>
      <c r="B127" s="2" t="s">
        <v>301</v>
      </c>
      <c r="C127" s="2"/>
      <c r="D127" s="2" t="s">
        <v>353</v>
      </c>
      <c r="E127" s="2" t="s">
        <v>501</v>
      </c>
      <c r="F127" s="2" t="s">
        <v>299</v>
      </c>
    </row>
    <row r="128" spans="1:6" x14ac:dyDescent="0.25">
      <c r="A128" s="2" t="s">
        <v>302</v>
      </c>
      <c r="B128" s="2" t="s">
        <v>303</v>
      </c>
      <c r="C128" s="2"/>
      <c r="D128" s="2" t="s">
        <v>353</v>
      </c>
      <c r="E128" s="2" t="s">
        <v>513</v>
      </c>
      <c r="F128" s="2" t="s">
        <v>304</v>
      </c>
    </row>
    <row r="129" spans="1:6" x14ac:dyDescent="0.25">
      <c r="A129" s="2" t="s">
        <v>305</v>
      </c>
      <c r="B129" s="2" t="s">
        <v>306</v>
      </c>
      <c r="C129" s="2"/>
      <c r="D129" s="2" t="s">
        <v>394</v>
      </c>
      <c r="E129" s="2" t="s">
        <v>276</v>
      </c>
      <c r="F129" s="2" t="s">
        <v>307</v>
      </c>
    </row>
    <row r="130" spans="1:6" x14ac:dyDescent="0.25">
      <c r="A130" s="2" t="s">
        <v>308</v>
      </c>
      <c r="B130" s="2" t="s">
        <v>309</v>
      </c>
      <c r="C130" s="2"/>
      <c r="D130" s="2" t="s">
        <v>394</v>
      </c>
      <c r="E130" s="10" t="s">
        <v>500</v>
      </c>
      <c r="F130" s="2" t="s">
        <v>310</v>
      </c>
    </row>
    <row r="131" spans="1:6" x14ac:dyDescent="0.25">
      <c r="A131" s="2" t="s">
        <v>311</v>
      </c>
      <c r="B131" s="2" t="s">
        <v>312</v>
      </c>
      <c r="C131" s="2"/>
      <c r="D131" s="2" t="s">
        <v>353</v>
      </c>
      <c r="E131" s="2" t="s">
        <v>501</v>
      </c>
      <c r="F131" s="2" t="s">
        <v>313</v>
      </c>
    </row>
    <row r="132" spans="1:6" x14ac:dyDescent="0.25">
      <c r="A132" s="2" t="s">
        <v>314</v>
      </c>
      <c r="B132" s="2" t="s">
        <v>315</v>
      </c>
      <c r="C132" s="2"/>
      <c r="D132" s="2" t="s">
        <v>394</v>
      </c>
      <c r="E132" s="10" t="s">
        <v>414</v>
      </c>
      <c r="F132" s="2" t="s">
        <v>316</v>
      </c>
    </row>
    <row r="133" spans="1:6" x14ac:dyDescent="0.25">
      <c r="A133" s="2"/>
      <c r="B133" s="2"/>
      <c r="C133" s="2"/>
      <c r="D133" s="2"/>
      <c r="E133" s="2"/>
    </row>
    <row r="134" spans="1:6" x14ac:dyDescent="0.25">
      <c r="A134" s="2"/>
      <c r="B134" s="2"/>
      <c r="C134" s="2"/>
      <c r="D134" s="2"/>
      <c r="E134" s="2"/>
    </row>
    <row r="135" spans="1:6" x14ac:dyDescent="0.25">
      <c r="A135" s="2"/>
      <c r="B135" s="2"/>
      <c r="C135" s="2"/>
      <c r="D135" s="2"/>
      <c r="E135" s="2"/>
    </row>
    <row r="136" spans="1:6" x14ac:dyDescent="0.25">
      <c r="A136" s="2"/>
      <c r="B136" s="2"/>
      <c r="C136" s="2"/>
      <c r="D136" s="2"/>
      <c r="E136" s="2"/>
    </row>
    <row r="137" spans="1:6" x14ac:dyDescent="0.25">
      <c r="A137" s="2"/>
      <c r="B137" s="2"/>
      <c r="C137" s="2"/>
      <c r="D137" s="2"/>
      <c r="E137" s="2"/>
    </row>
    <row r="138" spans="1:6" x14ac:dyDescent="0.25">
      <c r="A138" s="2"/>
      <c r="B138" s="2"/>
      <c r="C138" s="2"/>
      <c r="D138" s="2"/>
      <c r="E138" s="2"/>
    </row>
    <row r="139" spans="1:6" x14ac:dyDescent="0.25">
      <c r="A139" s="2"/>
      <c r="B139" s="2"/>
      <c r="C139" s="2"/>
      <c r="D139" s="2"/>
      <c r="E139" s="2"/>
    </row>
    <row r="140" spans="1:6" x14ac:dyDescent="0.25">
      <c r="A140" s="2"/>
      <c r="B140" s="2"/>
      <c r="C140" s="2"/>
      <c r="D140" s="2"/>
      <c r="E140" s="2"/>
    </row>
    <row r="141" spans="1:6" x14ac:dyDescent="0.25">
      <c r="A141" s="2"/>
      <c r="B141" s="2"/>
      <c r="C141" s="2"/>
      <c r="D141" s="2"/>
      <c r="E141" s="2"/>
    </row>
    <row r="142" spans="1:6" x14ac:dyDescent="0.25">
      <c r="A142" s="2"/>
      <c r="B142" s="2"/>
      <c r="C142" s="2"/>
      <c r="D142" s="2"/>
      <c r="E142" s="2"/>
    </row>
    <row r="143" spans="1:6" x14ac:dyDescent="0.25">
      <c r="A143" s="2"/>
      <c r="B143" s="2"/>
      <c r="C143" s="2"/>
      <c r="D143" s="2"/>
      <c r="E143" s="2"/>
    </row>
    <row r="144" spans="1:6" x14ac:dyDescent="0.25">
      <c r="A144" s="2"/>
      <c r="B144" s="2"/>
      <c r="C144" s="2"/>
      <c r="D144" s="2"/>
      <c r="E144" s="2"/>
    </row>
    <row r="145" spans="1:5" x14ac:dyDescent="0.25">
      <c r="A145" s="2"/>
      <c r="B145" s="2"/>
      <c r="C145" s="2"/>
      <c r="D145" s="2"/>
      <c r="E145" s="2"/>
    </row>
    <row r="146" spans="1:5" x14ac:dyDescent="0.25">
      <c r="A146" s="2"/>
      <c r="B146" s="2"/>
      <c r="C146" s="2"/>
      <c r="D146" s="2"/>
      <c r="E146" s="2"/>
    </row>
    <row r="147" spans="1:5" x14ac:dyDescent="0.25">
      <c r="A147" s="2"/>
      <c r="B147" s="2"/>
      <c r="C147" s="2"/>
      <c r="D147" s="2"/>
      <c r="E147" s="2"/>
    </row>
    <row r="148" spans="1:5" x14ac:dyDescent="0.25">
      <c r="A148" s="2"/>
      <c r="B148" s="2"/>
      <c r="C148" s="2"/>
      <c r="D148" s="2"/>
      <c r="E148" s="2"/>
    </row>
    <row r="149" spans="1:5" x14ac:dyDescent="0.25">
      <c r="A149" s="2"/>
      <c r="B149" s="2"/>
      <c r="C149" s="2"/>
      <c r="D149" s="2"/>
      <c r="E149" s="2"/>
    </row>
    <row r="150" spans="1:5" x14ac:dyDescent="0.25">
      <c r="A150" s="2"/>
      <c r="B150" s="2"/>
      <c r="C150" s="2"/>
      <c r="D150" s="2"/>
      <c r="E150" s="2"/>
    </row>
    <row r="151" spans="1:5" x14ac:dyDescent="0.25">
      <c r="A151" s="2"/>
      <c r="B151" s="2"/>
      <c r="C151" s="2"/>
      <c r="D151" s="2"/>
      <c r="E151" s="2"/>
    </row>
    <row r="152" spans="1:5" x14ac:dyDescent="0.25">
      <c r="A152" s="2"/>
      <c r="B152" s="2"/>
      <c r="C152" s="2"/>
      <c r="D152" s="2"/>
      <c r="E152" s="2"/>
    </row>
    <row r="153" spans="1:5" x14ac:dyDescent="0.25">
      <c r="A153" s="2"/>
      <c r="B153" s="2"/>
      <c r="C153" s="2"/>
      <c r="D153" s="2"/>
      <c r="E153" s="2"/>
    </row>
    <row r="154" spans="1:5" x14ac:dyDescent="0.25">
      <c r="A154" s="2"/>
      <c r="B154" s="2"/>
      <c r="C154" s="2"/>
      <c r="D154" s="2"/>
      <c r="E154" s="2"/>
    </row>
    <row r="155" spans="1:5" x14ac:dyDescent="0.25">
      <c r="A155" s="2"/>
      <c r="B155" s="2"/>
      <c r="C155" s="2"/>
      <c r="D155" s="2"/>
      <c r="E155" s="2"/>
    </row>
    <row r="156" spans="1:5" x14ac:dyDescent="0.25">
      <c r="A156" s="2"/>
      <c r="B156" s="2"/>
      <c r="C156" s="2"/>
      <c r="D156" s="2"/>
      <c r="E156" s="2"/>
    </row>
    <row r="157" spans="1:5" x14ac:dyDescent="0.25">
      <c r="A157" s="2"/>
      <c r="B157" s="2"/>
      <c r="C157" s="2"/>
      <c r="D157" s="2"/>
      <c r="E157" s="2"/>
    </row>
    <row r="158" spans="1:5" x14ac:dyDescent="0.25">
      <c r="A158" s="2"/>
      <c r="B158" s="2"/>
      <c r="C158" s="2"/>
      <c r="D158" s="2"/>
      <c r="E158" s="2"/>
    </row>
    <row r="159" spans="1:5" x14ac:dyDescent="0.25">
      <c r="A159" s="2"/>
      <c r="B159" s="2"/>
      <c r="C159" s="2"/>
      <c r="D159" s="2"/>
      <c r="E159" s="2"/>
    </row>
    <row r="160" spans="1:5" x14ac:dyDescent="0.25">
      <c r="A160" s="2"/>
      <c r="B160" s="2"/>
      <c r="C160" s="2"/>
      <c r="D160" s="2"/>
      <c r="E160" s="2"/>
    </row>
    <row r="161" spans="1:5" x14ac:dyDescent="0.25">
      <c r="A161" s="2"/>
      <c r="B161" s="2"/>
      <c r="C161" s="2"/>
      <c r="D161" s="2"/>
      <c r="E161" s="2"/>
    </row>
    <row r="162" spans="1:5" x14ac:dyDescent="0.25">
      <c r="A162" s="2"/>
      <c r="B162" s="2"/>
      <c r="C162" s="2"/>
      <c r="D162" s="2"/>
      <c r="E162" s="2"/>
    </row>
    <row r="163" spans="1:5" x14ac:dyDescent="0.25">
      <c r="A163" s="2"/>
      <c r="B163" s="2"/>
      <c r="C163" s="2"/>
      <c r="D163" s="2"/>
      <c r="E163" s="2"/>
    </row>
    <row r="164" spans="1:5" x14ac:dyDescent="0.25">
      <c r="A164" s="2"/>
      <c r="B164" s="2"/>
      <c r="C164" s="2"/>
      <c r="D164" s="2"/>
      <c r="E164" s="2"/>
    </row>
    <row r="165" spans="1:5" x14ac:dyDescent="0.25">
      <c r="A165" s="2"/>
      <c r="B165" s="2"/>
      <c r="C165" s="2"/>
      <c r="D165" s="2"/>
      <c r="E165" s="2"/>
    </row>
    <row r="166" spans="1:5" x14ac:dyDescent="0.25">
      <c r="A166" s="2"/>
      <c r="B166" s="2"/>
      <c r="C166" s="2"/>
      <c r="D166" s="2"/>
      <c r="E166" s="2"/>
    </row>
    <row r="167" spans="1:5" x14ac:dyDescent="0.25">
      <c r="A167" s="2"/>
      <c r="B167" s="2"/>
      <c r="C167" s="2"/>
      <c r="D167" s="2"/>
      <c r="E167" s="2"/>
    </row>
    <row r="168" spans="1:5" x14ac:dyDescent="0.25">
      <c r="A168" s="2"/>
      <c r="B168" s="2"/>
      <c r="C168" s="2"/>
      <c r="D168" s="2"/>
      <c r="E168" s="2"/>
    </row>
    <row r="169" spans="1:5" x14ac:dyDescent="0.25">
      <c r="A169" s="2"/>
      <c r="B169" s="2"/>
      <c r="C169" s="2"/>
      <c r="D169" s="2"/>
      <c r="E169" s="2"/>
    </row>
    <row r="170" spans="1:5" x14ac:dyDescent="0.25">
      <c r="A170" s="2"/>
      <c r="B170" s="2"/>
      <c r="C170" s="2"/>
      <c r="D170" s="2"/>
      <c r="E170" s="2"/>
    </row>
    <row r="171" spans="1:5" x14ac:dyDescent="0.25">
      <c r="A171" s="2"/>
      <c r="B171" s="2"/>
      <c r="C171" s="2"/>
      <c r="D171" s="2"/>
      <c r="E171" s="2"/>
    </row>
    <row r="172" spans="1:5" x14ac:dyDescent="0.25">
      <c r="A172" s="2"/>
      <c r="B172" s="2"/>
      <c r="C172" s="2"/>
      <c r="D172" s="2"/>
      <c r="E172" s="2"/>
    </row>
    <row r="173" spans="1:5" x14ac:dyDescent="0.25">
      <c r="A173" s="2"/>
      <c r="B173" s="2"/>
      <c r="C173" s="2"/>
      <c r="D173" s="2"/>
      <c r="E173" s="2"/>
    </row>
    <row r="174" spans="1:5" x14ac:dyDescent="0.25">
      <c r="A174" s="2"/>
      <c r="B174" s="2"/>
      <c r="C174" s="2"/>
      <c r="D174" s="2"/>
      <c r="E174" s="2"/>
    </row>
    <row r="175" spans="1:5" x14ac:dyDescent="0.25">
      <c r="A175" s="2"/>
      <c r="B175" s="2"/>
      <c r="C175" s="2"/>
      <c r="D175" s="2"/>
      <c r="E175" s="2"/>
    </row>
    <row r="176" spans="1:5" x14ac:dyDescent="0.25">
      <c r="A176" s="2"/>
      <c r="B176" s="2"/>
      <c r="C176" s="2"/>
      <c r="D176" s="2"/>
      <c r="E176" s="2"/>
    </row>
    <row r="177" spans="1:5" x14ac:dyDescent="0.25">
      <c r="A177" s="2"/>
      <c r="B177" s="2"/>
      <c r="C177" s="2"/>
      <c r="D177" s="2"/>
      <c r="E177" s="2"/>
    </row>
    <row r="178" spans="1:5" x14ac:dyDescent="0.25">
      <c r="A178" s="2"/>
      <c r="B178" s="2"/>
      <c r="C178" s="2"/>
      <c r="D178" s="2"/>
      <c r="E178" s="2"/>
    </row>
    <row r="179" spans="1:5" x14ac:dyDescent="0.25">
      <c r="A179" s="2"/>
      <c r="B179" s="2"/>
      <c r="C179" s="2"/>
      <c r="D179" s="2"/>
      <c r="E179" s="2"/>
    </row>
    <row r="180" spans="1:5" x14ac:dyDescent="0.25">
      <c r="A180" s="2"/>
      <c r="B180" s="2"/>
      <c r="C180" s="2"/>
      <c r="D180" s="2"/>
      <c r="E180" s="2"/>
    </row>
    <row r="181" spans="1:5" x14ac:dyDescent="0.25">
      <c r="A181" s="2"/>
      <c r="B181" s="2"/>
      <c r="C181" s="2"/>
      <c r="D181" s="2"/>
      <c r="E181" s="2"/>
    </row>
    <row r="182" spans="1:5" x14ac:dyDescent="0.25">
      <c r="A182" s="2"/>
      <c r="B182" s="2"/>
      <c r="C182" s="2"/>
      <c r="D182" s="2"/>
      <c r="E182" s="2"/>
    </row>
    <row r="183" spans="1:5" x14ac:dyDescent="0.25">
      <c r="A183" s="2"/>
      <c r="B183" s="2"/>
      <c r="C183" s="2"/>
      <c r="D183" s="2"/>
      <c r="E183" s="2"/>
    </row>
    <row r="184" spans="1:5" x14ac:dyDescent="0.25">
      <c r="A184" s="2"/>
      <c r="B184" s="2"/>
      <c r="C184" s="2"/>
      <c r="D184" s="2"/>
      <c r="E184" s="2"/>
    </row>
    <row r="185" spans="1:5" x14ac:dyDescent="0.25">
      <c r="A185" s="2"/>
      <c r="B185" s="2"/>
      <c r="C185" s="2"/>
      <c r="D185" s="2"/>
      <c r="E185" s="2"/>
    </row>
    <row r="186" spans="1:5" x14ac:dyDescent="0.25">
      <c r="A186" s="2"/>
      <c r="B186" s="2"/>
      <c r="C186" s="2"/>
      <c r="D186" s="2"/>
      <c r="E186" s="2"/>
    </row>
    <row r="187" spans="1:5" x14ac:dyDescent="0.25">
      <c r="A187" s="2"/>
      <c r="B187" s="2"/>
      <c r="C187" s="2"/>
      <c r="D187" s="2"/>
      <c r="E187" s="2"/>
    </row>
    <row r="188" spans="1:5" x14ac:dyDescent="0.25">
      <c r="A188" s="2"/>
      <c r="B188" s="2"/>
      <c r="C188" s="2"/>
      <c r="D188" s="2"/>
      <c r="E188" s="2"/>
    </row>
    <row r="189" spans="1:5" x14ac:dyDescent="0.25">
      <c r="A189" s="2"/>
      <c r="B189" s="2"/>
      <c r="C189" s="2"/>
      <c r="D189" s="2"/>
      <c r="E189" s="2"/>
    </row>
    <row r="190" spans="1:5" x14ac:dyDescent="0.25">
      <c r="A190" s="2"/>
      <c r="B190" s="2"/>
      <c r="C190" s="2"/>
      <c r="D190" s="2"/>
      <c r="E190" s="2"/>
    </row>
    <row r="191" spans="1:5" x14ac:dyDescent="0.25">
      <c r="A191" s="2"/>
      <c r="B191" s="2"/>
      <c r="C191" s="2"/>
      <c r="D191" s="2"/>
      <c r="E191" s="2"/>
    </row>
    <row r="192" spans="1:5" x14ac:dyDescent="0.25">
      <c r="A192" s="2"/>
      <c r="B192" s="2"/>
      <c r="C192" s="2"/>
      <c r="D192" s="2"/>
      <c r="E192" s="2"/>
    </row>
    <row r="193" spans="1:5" x14ac:dyDescent="0.25">
      <c r="A193" s="2"/>
      <c r="B193" s="2"/>
      <c r="C193" s="2"/>
      <c r="D193" s="2"/>
      <c r="E193" s="2"/>
    </row>
    <row r="194" spans="1:5" x14ac:dyDescent="0.25">
      <c r="A194" s="2"/>
      <c r="B194" s="2"/>
      <c r="C194" s="2"/>
      <c r="D194" s="2"/>
      <c r="E194" s="2"/>
    </row>
    <row r="195" spans="1:5" x14ac:dyDescent="0.25">
      <c r="A195" s="2"/>
      <c r="B195" s="2"/>
      <c r="C195" s="2"/>
      <c r="D195" s="2"/>
      <c r="E195" s="2"/>
    </row>
    <row r="196" spans="1:5" x14ac:dyDescent="0.25">
      <c r="A196" s="2"/>
      <c r="B196" s="2"/>
      <c r="C196" s="2"/>
      <c r="D196" s="2"/>
      <c r="E196" s="2"/>
    </row>
    <row r="197" spans="1:5" x14ac:dyDescent="0.25">
      <c r="A197" s="2"/>
      <c r="B197" s="2"/>
      <c r="C197" s="2"/>
      <c r="D197" s="2"/>
      <c r="E197" s="2"/>
    </row>
    <row r="198" spans="1:5" x14ac:dyDescent="0.25">
      <c r="A198" s="2"/>
      <c r="B198" s="2"/>
      <c r="C198" s="2"/>
      <c r="D198" s="2"/>
      <c r="E198" s="2"/>
    </row>
    <row r="199" spans="1:5" x14ac:dyDescent="0.25">
      <c r="A199" s="2"/>
      <c r="B199" s="2"/>
      <c r="C199" s="2"/>
      <c r="D199" s="2"/>
      <c r="E199" s="2"/>
    </row>
    <row r="200" spans="1:5" x14ac:dyDescent="0.25">
      <c r="A200" s="2"/>
      <c r="B200" s="2"/>
      <c r="C200" s="2"/>
      <c r="D200" s="2"/>
      <c r="E200" s="2"/>
    </row>
    <row r="201" spans="1:5" x14ac:dyDescent="0.25">
      <c r="A201" s="2"/>
      <c r="B201" s="2"/>
      <c r="C201" s="2"/>
      <c r="D201" s="2"/>
      <c r="E201" s="2"/>
    </row>
    <row r="202" spans="1:5" x14ac:dyDescent="0.25">
      <c r="A202" s="2"/>
      <c r="B202" s="2"/>
      <c r="C202" s="2"/>
      <c r="D202" s="2"/>
      <c r="E202" s="2"/>
    </row>
    <row r="203" spans="1:5" x14ac:dyDescent="0.25">
      <c r="A203" s="2"/>
      <c r="B203" s="2"/>
      <c r="C203" s="2"/>
      <c r="D203" s="2"/>
      <c r="E203" s="2"/>
    </row>
    <row r="204" spans="1:5" x14ac:dyDescent="0.25">
      <c r="A204" s="2"/>
      <c r="B204" s="2"/>
      <c r="C204" s="2"/>
      <c r="D204" s="2"/>
      <c r="E204" s="2"/>
    </row>
    <row r="205" spans="1:5" x14ac:dyDescent="0.25">
      <c r="A205" s="2"/>
      <c r="B205" s="2"/>
      <c r="C205" s="2"/>
      <c r="D205" s="2"/>
      <c r="E205" s="2"/>
    </row>
    <row r="206" spans="1:5" x14ac:dyDescent="0.25">
      <c r="A206" s="2"/>
      <c r="B206" s="2"/>
      <c r="C206" s="2"/>
      <c r="D206" s="2"/>
      <c r="E206" s="2"/>
    </row>
    <row r="207" spans="1:5" x14ac:dyDescent="0.25">
      <c r="A207" s="2"/>
      <c r="B207" s="2"/>
      <c r="C207" s="2"/>
      <c r="D207" s="2"/>
      <c r="E207" s="2"/>
    </row>
    <row r="208" spans="1:5" x14ac:dyDescent="0.25">
      <c r="A208" s="2"/>
      <c r="B208" s="2"/>
      <c r="C208" s="2"/>
      <c r="D208" s="2"/>
      <c r="E208" s="2"/>
    </row>
    <row r="209" spans="1:5" x14ac:dyDescent="0.25">
      <c r="A209" s="2"/>
      <c r="B209" s="2"/>
      <c r="C209" s="2"/>
      <c r="D209" s="2"/>
      <c r="E209" s="2"/>
    </row>
    <row r="210" spans="1:5" x14ac:dyDescent="0.25">
      <c r="A210" s="2"/>
      <c r="B210" s="2"/>
      <c r="C210" s="2"/>
      <c r="D210" s="2"/>
      <c r="E210" s="2"/>
    </row>
    <row r="211" spans="1:5" x14ac:dyDescent="0.25">
      <c r="A211" s="2"/>
      <c r="B211" s="2"/>
      <c r="C211" s="2"/>
      <c r="D211" s="2"/>
      <c r="E211" s="2"/>
    </row>
    <row r="212" spans="1:5" x14ac:dyDescent="0.25">
      <c r="A212" s="2"/>
      <c r="B212" s="2"/>
      <c r="C212" s="2"/>
      <c r="D212" s="2"/>
      <c r="E212" s="2"/>
    </row>
    <row r="213" spans="1:5" x14ac:dyDescent="0.25">
      <c r="A213" s="2"/>
      <c r="B213" s="2"/>
      <c r="C213" s="2"/>
      <c r="D213" s="2"/>
      <c r="E213" s="2"/>
    </row>
    <row r="214" spans="1:5" x14ac:dyDescent="0.25">
      <c r="A214" s="2"/>
      <c r="B214" s="2"/>
      <c r="C214" s="2"/>
      <c r="D214" s="2"/>
      <c r="E214" s="2"/>
    </row>
    <row r="215" spans="1:5" x14ac:dyDescent="0.25">
      <c r="A215" s="2"/>
      <c r="B215" s="2"/>
      <c r="C215" s="2"/>
      <c r="D215" s="2"/>
      <c r="E215" s="2"/>
    </row>
    <row r="216" spans="1:5" x14ac:dyDescent="0.25">
      <c r="A216" s="2"/>
      <c r="B216" s="2"/>
      <c r="C216" s="2"/>
      <c r="D216" s="2"/>
      <c r="E216" s="2"/>
    </row>
    <row r="217" spans="1:5" x14ac:dyDescent="0.25">
      <c r="A217" s="2"/>
      <c r="B217" s="2"/>
      <c r="C217" s="2"/>
      <c r="D217" s="2"/>
      <c r="E217" s="2"/>
    </row>
    <row r="218" spans="1:5" x14ac:dyDescent="0.25">
      <c r="A218" s="2"/>
      <c r="B218" s="2"/>
      <c r="C218" s="2"/>
      <c r="D218" s="2"/>
      <c r="E218" s="2"/>
    </row>
    <row r="219" spans="1:5" x14ac:dyDescent="0.25">
      <c r="A219" s="2"/>
      <c r="B219" s="2"/>
      <c r="C219" s="2"/>
      <c r="D219" s="2"/>
      <c r="E219" s="2"/>
    </row>
    <row r="220" spans="1:5" x14ac:dyDescent="0.25">
      <c r="A220" s="2"/>
      <c r="B220" s="2"/>
      <c r="C220" s="2"/>
      <c r="D220" s="2"/>
      <c r="E220" s="2"/>
    </row>
    <row r="221" spans="1:5" x14ac:dyDescent="0.25">
      <c r="A221" s="2"/>
      <c r="B221" s="2"/>
      <c r="C221" s="2"/>
      <c r="D221" s="2"/>
      <c r="E221" s="2"/>
    </row>
    <row r="222" spans="1:5" x14ac:dyDescent="0.25">
      <c r="A222" s="2"/>
      <c r="B222" s="2"/>
      <c r="C222" s="2"/>
      <c r="D222" s="2"/>
      <c r="E222" s="2"/>
    </row>
    <row r="223" spans="1:5" x14ac:dyDescent="0.25">
      <c r="A223" s="2"/>
      <c r="B223" s="2"/>
      <c r="C223" s="2"/>
      <c r="D223" s="2"/>
      <c r="E223" s="2"/>
    </row>
    <row r="224" spans="1:5" x14ac:dyDescent="0.25">
      <c r="A224" s="2"/>
      <c r="B224" s="2"/>
      <c r="C224" s="2"/>
      <c r="D224" s="2"/>
      <c r="E224" s="2"/>
    </row>
    <row r="225" spans="1:5" x14ac:dyDescent="0.25">
      <c r="A225" s="2"/>
      <c r="B225" s="2"/>
      <c r="C225" s="2"/>
      <c r="D225" s="2"/>
      <c r="E225" s="2"/>
    </row>
    <row r="226" spans="1:5" x14ac:dyDescent="0.25">
      <c r="A226" s="2"/>
      <c r="B226" s="2"/>
      <c r="C226" s="2"/>
      <c r="D226" s="2"/>
      <c r="E226" s="2"/>
    </row>
    <row r="227" spans="1:5" x14ac:dyDescent="0.25">
      <c r="A227" s="2"/>
      <c r="B227" s="2"/>
      <c r="C227" s="2"/>
      <c r="D227" s="2"/>
      <c r="E227" s="2"/>
    </row>
    <row r="228" spans="1:5" x14ac:dyDescent="0.25">
      <c r="A228" s="2"/>
      <c r="B228" s="2"/>
      <c r="C228" s="2"/>
      <c r="D228" s="2"/>
      <c r="E228" s="2"/>
    </row>
    <row r="229" spans="1:5" x14ac:dyDescent="0.25">
      <c r="A229" s="2"/>
      <c r="B229" s="2"/>
      <c r="C229" s="2"/>
      <c r="D229" s="2"/>
      <c r="E229" s="2"/>
    </row>
    <row r="230" spans="1:5" x14ac:dyDescent="0.25">
      <c r="A230" s="2"/>
      <c r="B230" s="2"/>
      <c r="C230" s="2"/>
      <c r="D230" s="2"/>
      <c r="E230" s="2"/>
    </row>
    <row r="231" spans="1:5" x14ac:dyDescent="0.25">
      <c r="A231" s="2"/>
      <c r="B231" s="2"/>
      <c r="C231" s="2"/>
      <c r="D231" s="2"/>
      <c r="E231" s="2"/>
    </row>
    <row r="232" spans="1:5" x14ac:dyDescent="0.25">
      <c r="A232" s="2"/>
      <c r="B232" s="2"/>
      <c r="C232" s="2"/>
      <c r="D232" s="2"/>
      <c r="E232" s="2"/>
    </row>
    <row r="233" spans="1:5" x14ac:dyDescent="0.25">
      <c r="A233" s="2"/>
      <c r="B233" s="2"/>
      <c r="C233" s="2"/>
      <c r="D233" s="2"/>
      <c r="E233" s="2"/>
    </row>
    <row r="234" spans="1:5" x14ac:dyDescent="0.25">
      <c r="A234" s="2"/>
      <c r="B234" s="2"/>
      <c r="C234" s="2"/>
      <c r="D234" s="2"/>
      <c r="E234" s="2"/>
    </row>
    <row r="235" spans="1:5" x14ac:dyDescent="0.25">
      <c r="A235" s="2"/>
      <c r="B235" s="2"/>
      <c r="C235" s="2"/>
      <c r="D235" s="2"/>
      <c r="E235" s="2"/>
    </row>
    <row r="236" spans="1:5" x14ac:dyDescent="0.25">
      <c r="A236" s="2"/>
      <c r="B236" s="2"/>
      <c r="C236" s="2"/>
      <c r="D236" s="2"/>
      <c r="E236" s="2"/>
    </row>
    <row r="237" spans="1:5" x14ac:dyDescent="0.25">
      <c r="A237" s="2"/>
      <c r="B237" s="2"/>
      <c r="C237" s="2"/>
      <c r="D237" s="2"/>
      <c r="E237" s="2"/>
    </row>
    <row r="238" spans="1:5" x14ac:dyDescent="0.25">
      <c r="A238" s="2"/>
      <c r="B238" s="2"/>
      <c r="C238" s="2"/>
      <c r="D238" s="2"/>
      <c r="E238" s="2"/>
    </row>
    <row r="239" spans="1:5" x14ac:dyDescent="0.25">
      <c r="A239" s="2"/>
      <c r="B239" s="2"/>
      <c r="C239" s="2"/>
      <c r="D239" s="2"/>
      <c r="E239" s="2"/>
    </row>
    <row r="240" spans="1:5" x14ac:dyDescent="0.25">
      <c r="A240" s="2"/>
      <c r="B240" s="2"/>
      <c r="C240" s="2"/>
      <c r="D240" s="2"/>
      <c r="E240" s="2"/>
    </row>
    <row r="241" spans="1:5" x14ac:dyDescent="0.25">
      <c r="A241" s="2"/>
      <c r="B241" s="2"/>
      <c r="C241" s="2"/>
      <c r="D241" s="2"/>
      <c r="E241" s="2"/>
    </row>
    <row r="242" spans="1:5" x14ac:dyDescent="0.25">
      <c r="A242" s="2"/>
      <c r="B242" s="2"/>
      <c r="C242" s="2"/>
      <c r="D242" s="2"/>
      <c r="E242" s="2"/>
    </row>
    <row r="243" spans="1:5" x14ac:dyDescent="0.25">
      <c r="A243" s="2"/>
      <c r="B243" s="2"/>
      <c r="C243" s="2"/>
      <c r="D243" s="2"/>
      <c r="E243" s="2"/>
    </row>
    <row r="244" spans="1:5" x14ac:dyDescent="0.25">
      <c r="A244" s="2"/>
      <c r="B244" s="2"/>
      <c r="C244" s="2"/>
      <c r="D244" s="2"/>
      <c r="E244" s="2"/>
    </row>
    <row r="245" spans="1:5" x14ac:dyDescent="0.25">
      <c r="A245" s="2"/>
      <c r="B245" s="2"/>
      <c r="C245" s="2"/>
      <c r="D245" s="2"/>
      <c r="E245" s="2"/>
    </row>
    <row r="246" spans="1:5" x14ac:dyDescent="0.25">
      <c r="A246" s="2"/>
      <c r="B246" s="2"/>
      <c r="C246" s="2"/>
      <c r="D246" s="2"/>
      <c r="E246" s="2"/>
    </row>
    <row r="247" spans="1:5" x14ac:dyDescent="0.25">
      <c r="A247" s="2"/>
      <c r="B247" s="2"/>
      <c r="C247" s="2"/>
      <c r="D247" s="2"/>
      <c r="E247" s="2"/>
    </row>
    <row r="248" spans="1:5" x14ac:dyDescent="0.25">
      <c r="A248" s="2"/>
      <c r="B248" s="2"/>
      <c r="C248" s="2"/>
      <c r="D248" s="2"/>
      <c r="E248" s="2"/>
    </row>
    <row r="249" spans="1:5" x14ac:dyDescent="0.25">
      <c r="A249" s="2"/>
      <c r="B249" s="2"/>
      <c r="C249" s="2"/>
      <c r="D249" s="2"/>
      <c r="E249" s="2"/>
    </row>
    <row r="250" spans="1:5" x14ac:dyDescent="0.25">
      <c r="A250" s="2"/>
      <c r="B250" s="2"/>
      <c r="C250" s="2"/>
      <c r="D250" s="2"/>
      <c r="E250" s="2"/>
    </row>
    <row r="251" spans="1:5" x14ac:dyDescent="0.25">
      <c r="A251" s="2"/>
      <c r="B251" s="2"/>
      <c r="C251" s="2"/>
      <c r="D251" s="2"/>
      <c r="E251" s="2"/>
    </row>
    <row r="252" spans="1:5" x14ac:dyDescent="0.25">
      <c r="A252" s="2"/>
      <c r="B252" s="2"/>
      <c r="C252" s="2"/>
      <c r="D252" s="2"/>
      <c r="E252" s="2"/>
    </row>
    <row r="253" spans="1:5" x14ac:dyDescent="0.25">
      <c r="A253" s="2"/>
      <c r="B253" s="2"/>
      <c r="C253" s="2"/>
      <c r="D253" s="2"/>
      <c r="E253" s="2"/>
    </row>
    <row r="254" spans="1:5" x14ac:dyDescent="0.25">
      <c r="A254" s="2"/>
      <c r="B254" s="2"/>
      <c r="C254" s="2"/>
      <c r="D254" s="2"/>
      <c r="E254" s="2"/>
    </row>
    <row r="255" spans="1:5" x14ac:dyDescent="0.25">
      <c r="A255" s="2"/>
      <c r="B255" s="2"/>
      <c r="C255" s="2"/>
      <c r="D255" s="2"/>
      <c r="E255" s="2"/>
    </row>
    <row r="256" spans="1:5" x14ac:dyDescent="0.25">
      <c r="A256" s="2"/>
      <c r="B256" s="2"/>
      <c r="C256" s="2"/>
      <c r="D256" s="2"/>
      <c r="E256" s="2"/>
    </row>
    <row r="257" spans="1:5" x14ac:dyDescent="0.25">
      <c r="A257" s="2"/>
      <c r="B257" s="2"/>
      <c r="C257" s="2"/>
      <c r="D257" s="2"/>
      <c r="E257" s="2"/>
    </row>
    <row r="258" spans="1:5" x14ac:dyDescent="0.25">
      <c r="A258" s="2"/>
      <c r="B258" s="2"/>
      <c r="C258" s="2"/>
      <c r="D258" s="2"/>
      <c r="E258" s="2"/>
    </row>
    <row r="259" spans="1:5" x14ac:dyDescent="0.25">
      <c r="A259" s="2"/>
      <c r="B259" s="2"/>
      <c r="C259" s="2"/>
      <c r="D259" s="2"/>
      <c r="E259" s="2"/>
    </row>
    <row r="260" spans="1:5" x14ac:dyDescent="0.25">
      <c r="A260" s="2"/>
      <c r="B260" s="2"/>
      <c r="C260" s="2"/>
      <c r="D260" s="2"/>
      <c r="E260" s="2"/>
    </row>
    <row r="261" spans="1:5" x14ac:dyDescent="0.25">
      <c r="A261" s="2"/>
      <c r="B261" s="2"/>
      <c r="C261" s="2"/>
      <c r="D261" s="2"/>
      <c r="E261" s="2"/>
    </row>
    <row r="262" spans="1:5" x14ac:dyDescent="0.25">
      <c r="A262" s="2"/>
      <c r="B262" s="2"/>
      <c r="C262" s="2"/>
      <c r="D262" s="2"/>
      <c r="E262" s="2"/>
    </row>
    <row r="263" spans="1:5" x14ac:dyDescent="0.25">
      <c r="A263" s="2"/>
      <c r="B263" s="2"/>
      <c r="C263" s="2"/>
      <c r="D263" s="2"/>
      <c r="E263" s="2"/>
    </row>
    <row r="264" spans="1:5" x14ac:dyDescent="0.25">
      <c r="A264" s="2"/>
      <c r="B264" s="2"/>
      <c r="C264" s="2"/>
      <c r="D264" s="2"/>
      <c r="E264" s="2"/>
    </row>
    <row r="265" spans="1:5" x14ac:dyDescent="0.25">
      <c r="A265" s="2"/>
      <c r="B265" s="2"/>
      <c r="C265" s="2"/>
      <c r="D265" s="2"/>
      <c r="E265" s="2"/>
    </row>
    <row r="266" spans="1:5" x14ac:dyDescent="0.25">
      <c r="A266" s="2"/>
      <c r="B266" s="2"/>
      <c r="C266" s="2"/>
      <c r="D266" s="2"/>
      <c r="E266" s="2"/>
    </row>
    <row r="267" spans="1:5" x14ac:dyDescent="0.25">
      <c r="A267" s="2"/>
      <c r="B267" s="2"/>
      <c r="C267" s="2"/>
      <c r="D267" s="2"/>
      <c r="E267" s="2"/>
    </row>
    <row r="268" spans="1:5" x14ac:dyDescent="0.25">
      <c r="A268" s="2"/>
      <c r="B268" s="2"/>
      <c r="C268" s="2"/>
      <c r="D268" s="2"/>
      <c r="E268" s="2"/>
    </row>
    <row r="269" spans="1:5" x14ac:dyDescent="0.25">
      <c r="A269" s="2"/>
      <c r="B269" s="2"/>
      <c r="C269" s="2"/>
      <c r="D269" s="2"/>
      <c r="E269" s="2"/>
    </row>
    <row r="270" spans="1:5" x14ac:dyDescent="0.25">
      <c r="A270" s="2"/>
      <c r="B270" s="2"/>
      <c r="C270" s="2"/>
      <c r="D270" s="2"/>
      <c r="E270" s="2"/>
    </row>
    <row r="271" spans="1:5" x14ac:dyDescent="0.25">
      <c r="A271" s="2"/>
      <c r="B271" s="2"/>
      <c r="C271" s="2"/>
      <c r="D271" s="2"/>
      <c r="E271" s="2"/>
    </row>
    <row r="272" spans="1:5" x14ac:dyDescent="0.25">
      <c r="A272" s="2"/>
      <c r="B272" s="2"/>
      <c r="C272" s="2"/>
      <c r="D272" s="2"/>
      <c r="E272" s="2"/>
    </row>
    <row r="273" spans="1:5" x14ac:dyDescent="0.25">
      <c r="A273" s="2"/>
      <c r="B273" s="2"/>
      <c r="C273" s="2"/>
      <c r="D273" s="2"/>
      <c r="E273" s="2"/>
    </row>
    <row r="274" spans="1:5" x14ac:dyDescent="0.25">
      <c r="A274" s="2"/>
      <c r="B274" s="2"/>
      <c r="C274" s="2"/>
      <c r="D274" s="2"/>
      <c r="E274" s="2"/>
    </row>
    <row r="275" spans="1:5" x14ac:dyDescent="0.25">
      <c r="A275" s="2"/>
      <c r="B275" s="2"/>
      <c r="C275" s="2"/>
      <c r="D275" s="2"/>
      <c r="E275" s="2"/>
    </row>
    <row r="276" spans="1:5" x14ac:dyDescent="0.25">
      <c r="A276" s="2"/>
      <c r="B276" s="2"/>
      <c r="C276" s="2"/>
      <c r="D276" s="2"/>
      <c r="E276" s="2"/>
    </row>
    <row r="277" spans="1:5" x14ac:dyDescent="0.25">
      <c r="A277" s="2"/>
      <c r="B277" s="2"/>
      <c r="C277" s="2"/>
      <c r="D277" s="2"/>
      <c r="E277" s="2"/>
    </row>
    <row r="278" spans="1:5" x14ac:dyDescent="0.25">
      <c r="A278" s="2"/>
      <c r="B278" s="2"/>
      <c r="C278" s="2"/>
      <c r="D278" s="2"/>
      <c r="E278" s="2"/>
    </row>
    <row r="279" spans="1:5" x14ac:dyDescent="0.25">
      <c r="A279" s="2"/>
      <c r="B279" s="2"/>
      <c r="C279" s="2"/>
      <c r="D279" s="2"/>
      <c r="E279" s="2"/>
    </row>
    <row r="280" spans="1:5" x14ac:dyDescent="0.25">
      <c r="A280" s="2"/>
      <c r="B280" s="2"/>
      <c r="C280" s="2"/>
      <c r="D280" s="2"/>
      <c r="E280" s="2"/>
    </row>
    <row r="281" spans="1:5" x14ac:dyDescent="0.25">
      <c r="A281" s="2"/>
      <c r="B281" s="2"/>
      <c r="C281" s="2"/>
      <c r="D281" s="2"/>
      <c r="E281" s="2"/>
    </row>
    <row r="282" spans="1:5" x14ac:dyDescent="0.25">
      <c r="A282" s="2"/>
      <c r="B282" s="2"/>
      <c r="C282" s="2"/>
      <c r="D282" s="2"/>
      <c r="E282" s="2"/>
    </row>
    <row r="283" spans="1:5" x14ac:dyDescent="0.25">
      <c r="A283" s="2"/>
      <c r="B283" s="2"/>
      <c r="C283" s="2"/>
      <c r="D283" s="2"/>
      <c r="E283" s="2"/>
    </row>
    <row r="284" spans="1:5" x14ac:dyDescent="0.25">
      <c r="A284" s="2"/>
      <c r="B284" s="2"/>
      <c r="C284" s="2"/>
      <c r="D284" s="2"/>
      <c r="E284" s="2"/>
    </row>
    <row r="285" spans="1:5" x14ac:dyDescent="0.25">
      <c r="A285" s="2"/>
      <c r="B285" s="2"/>
      <c r="C285" s="2"/>
      <c r="D285" s="2"/>
      <c r="E285" s="2"/>
    </row>
    <row r="286" spans="1:5" x14ac:dyDescent="0.25">
      <c r="A286" s="2"/>
      <c r="B286" s="2"/>
      <c r="C286" s="2"/>
      <c r="D286" s="2"/>
      <c r="E286" s="2"/>
    </row>
    <row r="287" spans="1:5" x14ac:dyDescent="0.25">
      <c r="A287" s="2"/>
      <c r="B287" s="2"/>
      <c r="C287" s="2"/>
      <c r="D287" s="2"/>
      <c r="E287" s="2"/>
    </row>
    <row r="288" spans="1:5" x14ac:dyDescent="0.25">
      <c r="A288" s="2"/>
      <c r="B288" s="2"/>
      <c r="C288" s="2"/>
      <c r="D288" s="2"/>
      <c r="E288" s="2"/>
    </row>
    <row r="289" spans="1:5" x14ac:dyDescent="0.25">
      <c r="A289" s="2"/>
      <c r="B289" s="2"/>
      <c r="C289" s="2"/>
      <c r="D289" s="2"/>
      <c r="E289" s="2"/>
    </row>
    <row r="290" spans="1:5" x14ac:dyDescent="0.25">
      <c r="A290" s="2"/>
      <c r="B290" s="2"/>
      <c r="C290" s="2"/>
      <c r="D290" s="2"/>
      <c r="E290" s="2"/>
    </row>
    <row r="291" spans="1:5" x14ac:dyDescent="0.25">
      <c r="A291" s="2"/>
      <c r="B291" s="2"/>
      <c r="C291" s="2"/>
      <c r="D291" s="2"/>
      <c r="E291" s="2"/>
    </row>
    <row r="292" spans="1:5" x14ac:dyDescent="0.25">
      <c r="A292" s="2"/>
      <c r="B292" s="2"/>
      <c r="C292" s="2"/>
      <c r="D292" s="2"/>
      <c r="E292" s="2"/>
    </row>
    <row r="293" spans="1:5" x14ac:dyDescent="0.25">
      <c r="A293" s="2"/>
      <c r="B293" s="2"/>
      <c r="C293" s="2"/>
      <c r="D293" s="2"/>
      <c r="E293" s="2"/>
    </row>
    <row r="294" spans="1:5" x14ac:dyDescent="0.25">
      <c r="A294" s="2"/>
      <c r="B294" s="2"/>
      <c r="C294" s="2"/>
      <c r="D294" s="2"/>
      <c r="E294" s="2"/>
    </row>
    <row r="295" spans="1:5" x14ac:dyDescent="0.25">
      <c r="A295" s="2"/>
      <c r="B295" s="2"/>
      <c r="C295" s="2"/>
      <c r="D295" s="2"/>
      <c r="E295" s="2"/>
    </row>
    <row r="296" spans="1:5" x14ac:dyDescent="0.25">
      <c r="A296" s="2"/>
      <c r="B296" s="2"/>
      <c r="C296" s="2"/>
      <c r="D296" s="2"/>
      <c r="E296" s="2"/>
    </row>
    <row r="297" spans="1:5" x14ac:dyDescent="0.25">
      <c r="A297" s="2"/>
      <c r="B297" s="2"/>
      <c r="C297" s="2"/>
      <c r="D297" s="2"/>
      <c r="E297" s="2"/>
    </row>
    <row r="298" spans="1:5" x14ac:dyDescent="0.25">
      <c r="A298" s="2"/>
      <c r="B298" s="2"/>
      <c r="C298" s="2"/>
      <c r="D298" s="2"/>
      <c r="E298" s="2"/>
    </row>
    <row r="299" spans="1:5" x14ac:dyDescent="0.25">
      <c r="A299" s="2"/>
      <c r="B299" s="2"/>
      <c r="C299" s="2"/>
      <c r="D299" s="2"/>
      <c r="E299" s="2"/>
    </row>
    <row r="300" spans="1:5" x14ac:dyDescent="0.25">
      <c r="A300" s="2"/>
      <c r="B300" s="2"/>
      <c r="C300" s="2"/>
      <c r="D300" s="2"/>
      <c r="E300" s="2"/>
    </row>
    <row r="301" spans="1:5" x14ac:dyDescent="0.25">
      <c r="A301" s="2"/>
      <c r="B301" s="2"/>
      <c r="C301" s="2"/>
      <c r="D301" s="2"/>
      <c r="E301" s="2"/>
    </row>
    <row r="302" spans="1:5" x14ac:dyDescent="0.25">
      <c r="A302" s="2"/>
      <c r="B302" s="2"/>
      <c r="C302" s="2"/>
      <c r="D302" s="2"/>
      <c r="E302" s="2"/>
    </row>
    <row r="303" spans="1:5" x14ac:dyDescent="0.25">
      <c r="A303" s="2"/>
      <c r="B303" s="2"/>
      <c r="C303" s="2"/>
      <c r="D303" s="2"/>
      <c r="E303" s="2"/>
    </row>
    <row r="304" spans="1:5" x14ac:dyDescent="0.25">
      <c r="A304" s="2"/>
      <c r="B304" s="2"/>
      <c r="C304" s="2"/>
      <c r="D304" s="2"/>
      <c r="E304" s="2"/>
    </row>
    <row r="305" spans="1:5" x14ac:dyDescent="0.25">
      <c r="A305" s="2"/>
      <c r="B305" s="2"/>
      <c r="C305" s="2"/>
      <c r="D305" s="2"/>
      <c r="E305" s="2"/>
    </row>
    <row r="306" spans="1:5" x14ac:dyDescent="0.25">
      <c r="A306" s="2"/>
      <c r="B306" s="2"/>
      <c r="C306" s="2"/>
      <c r="D306" s="2"/>
      <c r="E306" s="2"/>
    </row>
    <row r="307" spans="1:5" x14ac:dyDescent="0.25">
      <c r="A307" s="2"/>
      <c r="B307" s="2"/>
      <c r="C307" s="2"/>
      <c r="D307" s="2"/>
      <c r="E307" s="2"/>
    </row>
    <row r="308" spans="1:5" x14ac:dyDescent="0.25">
      <c r="A308" s="2"/>
      <c r="B308" s="2"/>
      <c r="C308" s="2"/>
      <c r="D308" s="2"/>
      <c r="E308" s="2"/>
    </row>
    <row r="309" spans="1:5" x14ac:dyDescent="0.25">
      <c r="A309" s="2"/>
      <c r="B309" s="2"/>
      <c r="C309" s="2"/>
      <c r="D309" s="2"/>
      <c r="E309" s="2"/>
    </row>
    <row r="310" spans="1:5" x14ac:dyDescent="0.25">
      <c r="A310" s="2"/>
      <c r="B310" s="2"/>
      <c r="C310" s="2"/>
      <c r="D310" s="2"/>
      <c r="E310" s="2"/>
    </row>
    <row r="311" spans="1:5" x14ac:dyDescent="0.25">
      <c r="A311" s="2"/>
      <c r="B311" s="2"/>
      <c r="C311" s="2"/>
      <c r="D311" s="2"/>
      <c r="E311" s="2"/>
    </row>
    <row r="312" spans="1:5" x14ac:dyDescent="0.25">
      <c r="A312" s="2"/>
      <c r="B312" s="2"/>
      <c r="C312" s="2"/>
      <c r="D312" s="2"/>
      <c r="E312" s="2"/>
    </row>
    <row r="313" spans="1:5" x14ac:dyDescent="0.25">
      <c r="A313" s="2"/>
      <c r="B313" s="2"/>
      <c r="C313" s="2"/>
      <c r="D313" s="2"/>
      <c r="E313" s="2"/>
    </row>
    <row r="314" spans="1:5" x14ac:dyDescent="0.25">
      <c r="A314" s="2"/>
      <c r="B314" s="2"/>
      <c r="C314" s="2"/>
      <c r="D314" s="2"/>
      <c r="E314" s="2"/>
    </row>
    <row r="315" spans="1:5" x14ac:dyDescent="0.25">
      <c r="A315" s="2"/>
      <c r="B315" s="2"/>
      <c r="C315" s="2"/>
      <c r="D315" s="2"/>
      <c r="E315" s="2"/>
    </row>
    <row r="316" spans="1:5" x14ac:dyDescent="0.25">
      <c r="A316" s="2"/>
      <c r="B316" s="2"/>
      <c r="C316" s="2"/>
      <c r="D316" s="2"/>
      <c r="E316" s="2"/>
    </row>
    <row r="317" spans="1:5" x14ac:dyDescent="0.25">
      <c r="A317" s="2"/>
      <c r="B317" s="2"/>
      <c r="C317" s="2"/>
      <c r="D317" s="2"/>
      <c r="E317" s="2"/>
    </row>
    <row r="318" spans="1:5" x14ac:dyDescent="0.25">
      <c r="A318" s="2"/>
      <c r="B318" s="2"/>
      <c r="C318" s="2"/>
      <c r="D318" s="2"/>
      <c r="E318" s="2"/>
    </row>
    <row r="319" spans="1:5" x14ac:dyDescent="0.25">
      <c r="A319" s="2"/>
      <c r="B319" s="2"/>
      <c r="C319" s="2"/>
      <c r="D319" s="2"/>
      <c r="E319" s="2"/>
    </row>
    <row r="320" spans="1:5" x14ac:dyDescent="0.25">
      <c r="A320" s="2"/>
      <c r="B320" s="2"/>
      <c r="C320" s="2"/>
      <c r="D320" s="2"/>
      <c r="E320" s="2"/>
    </row>
    <row r="321" spans="1:5" x14ac:dyDescent="0.25">
      <c r="A321" s="2"/>
      <c r="B321" s="2"/>
      <c r="C321" s="2"/>
      <c r="D321" s="2"/>
      <c r="E321" s="2"/>
    </row>
    <row r="322" spans="1:5" x14ac:dyDescent="0.25">
      <c r="A322" s="2"/>
      <c r="B322" s="2"/>
      <c r="C322" s="2"/>
      <c r="D322" s="2"/>
      <c r="E322" s="2"/>
    </row>
    <row r="323" spans="1:5" x14ac:dyDescent="0.25">
      <c r="A323" s="2"/>
      <c r="B323" s="2"/>
      <c r="C323" s="2"/>
      <c r="D323" s="2"/>
      <c r="E323" s="2"/>
    </row>
    <row r="324" spans="1:5" x14ac:dyDescent="0.25">
      <c r="A324" s="2"/>
      <c r="B324" s="2"/>
      <c r="C324" s="2"/>
      <c r="D324" s="2"/>
      <c r="E324" s="2"/>
    </row>
    <row r="325" spans="1:5" x14ac:dyDescent="0.25">
      <c r="A325" s="2"/>
      <c r="B325" s="2"/>
      <c r="C325" s="2"/>
      <c r="D325" s="2"/>
      <c r="E325" s="2"/>
    </row>
    <row r="326" spans="1:5" x14ac:dyDescent="0.25">
      <c r="A326" s="2"/>
      <c r="B326" s="2"/>
      <c r="C326" s="2"/>
      <c r="D326" s="2"/>
      <c r="E326" s="2"/>
    </row>
    <row r="327" spans="1:5" x14ac:dyDescent="0.25">
      <c r="A327" s="2"/>
      <c r="B327" s="2"/>
      <c r="C327" s="2"/>
      <c r="D327" s="2"/>
      <c r="E327" s="2"/>
    </row>
    <row r="328" spans="1:5" x14ac:dyDescent="0.25">
      <c r="A328" s="2"/>
      <c r="B328" s="2"/>
      <c r="C328" s="2"/>
      <c r="D328" s="2"/>
      <c r="E328" s="2"/>
    </row>
    <row r="329" spans="1:5" x14ac:dyDescent="0.25">
      <c r="A329" s="2"/>
      <c r="B329" s="2"/>
      <c r="C329" s="2"/>
      <c r="D329" s="2"/>
      <c r="E329" s="2"/>
    </row>
    <row r="330" spans="1:5" x14ac:dyDescent="0.25">
      <c r="A330" s="2"/>
      <c r="B330" s="2"/>
      <c r="C330" s="2"/>
      <c r="D330" s="2"/>
      <c r="E330" s="2"/>
    </row>
    <row r="331" spans="1:5" x14ac:dyDescent="0.25">
      <c r="A331" s="2"/>
      <c r="B331" s="2"/>
      <c r="C331" s="2"/>
      <c r="D331" s="2"/>
      <c r="E331" s="2"/>
    </row>
    <row r="332" spans="1:5" x14ac:dyDescent="0.25">
      <c r="A332" s="2"/>
      <c r="B332" s="2"/>
      <c r="C332" s="2"/>
      <c r="D332" s="2"/>
      <c r="E332" s="2"/>
    </row>
    <row r="333" spans="1:5" x14ac:dyDescent="0.25">
      <c r="A333" s="2"/>
      <c r="B333" s="2"/>
      <c r="C333" s="2"/>
      <c r="D333" s="2"/>
      <c r="E333" s="2"/>
    </row>
    <row r="334" spans="1:5" x14ac:dyDescent="0.25">
      <c r="A334" s="2"/>
      <c r="B334" s="2"/>
      <c r="C334" s="2"/>
      <c r="D334" s="2"/>
      <c r="E334" s="2"/>
    </row>
    <row r="335" spans="1:5" x14ac:dyDescent="0.25">
      <c r="A335" s="2"/>
      <c r="B335" s="2"/>
      <c r="C335" s="2"/>
      <c r="D335" s="2"/>
      <c r="E335" s="2"/>
    </row>
    <row r="336" spans="1:5" x14ac:dyDescent="0.25">
      <c r="A336" s="2"/>
      <c r="B336" s="2"/>
      <c r="C336" s="2"/>
      <c r="D336" s="2"/>
      <c r="E336" s="2"/>
    </row>
    <row r="337" spans="1:5" x14ac:dyDescent="0.25">
      <c r="A337" s="2"/>
      <c r="B337" s="2"/>
      <c r="C337" s="2"/>
      <c r="D337" s="2"/>
      <c r="E337" s="2"/>
    </row>
    <row r="338" spans="1:5" x14ac:dyDescent="0.25">
      <c r="A338" s="2"/>
      <c r="B338" s="2"/>
      <c r="C338" s="2"/>
      <c r="D338" s="2"/>
      <c r="E338" s="2"/>
    </row>
    <row r="339" spans="1:5" x14ac:dyDescent="0.25">
      <c r="A339" s="2"/>
      <c r="B339" s="2"/>
      <c r="C339" s="2"/>
      <c r="D339" s="2"/>
      <c r="E339" s="2"/>
    </row>
    <row r="340" spans="1:5" x14ac:dyDescent="0.25">
      <c r="A340" s="2"/>
      <c r="B340" s="2"/>
      <c r="C340" s="2"/>
      <c r="D340" s="2"/>
      <c r="E340" s="2"/>
    </row>
    <row r="341" spans="1:5" x14ac:dyDescent="0.25">
      <c r="A341" s="2"/>
      <c r="B341" s="2"/>
      <c r="C341" s="2"/>
      <c r="D341" s="2"/>
      <c r="E341" s="2"/>
    </row>
    <row r="342" spans="1:5" x14ac:dyDescent="0.25">
      <c r="A342" s="2"/>
      <c r="B342" s="2"/>
      <c r="C342" s="2"/>
      <c r="D342" s="2"/>
      <c r="E342" s="2"/>
    </row>
    <row r="343" spans="1:5" x14ac:dyDescent="0.25">
      <c r="A343" s="2"/>
      <c r="B343" s="2"/>
      <c r="C343" s="2"/>
      <c r="D343" s="2"/>
      <c r="E343" s="2"/>
    </row>
    <row r="344" spans="1:5" x14ac:dyDescent="0.25">
      <c r="A344" s="2"/>
      <c r="B344" s="2"/>
      <c r="C344" s="2"/>
      <c r="D344" s="2"/>
      <c r="E344" s="2"/>
    </row>
    <row r="345" spans="1:5" x14ac:dyDescent="0.25">
      <c r="A345" s="2"/>
      <c r="B345" s="2"/>
      <c r="C345" s="2"/>
      <c r="D345" s="2"/>
      <c r="E345" s="2"/>
    </row>
    <row r="346" spans="1:5" x14ac:dyDescent="0.25">
      <c r="A346" s="2"/>
      <c r="B346" s="2"/>
      <c r="C346" s="2"/>
      <c r="D346" s="2"/>
      <c r="E346" s="2"/>
    </row>
    <row r="347" spans="1:5" x14ac:dyDescent="0.25">
      <c r="A347" s="2"/>
      <c r="B347" s="2"/>
      <c r="C347" s="2"/>
      <c r="D347" s="2"/>
      <c r="E347" s="2"/>
    </row>
    <row r="348" spans="1:5" x14ac:dyDescent="0.25">
      <c r="A348" s="2"/>
      <c r="B348" s="2"/>
      <c r="C348" s="2"/>
      <c r="D348" s="2"/>
      <c r="E348" s="2"/>
    </row>
    <row r="349" spans="1:5" x14ac:dyDescent="0.25">
      <c r="A349" s="2"/>
      <c r="B349" s="2"/>
      <c r="C349" s="2"/>
      <c r="D349" s="2"/>
      <c r="E349" s="2"/>
    </row>
    <row r="350" spans="1:5" x14ac:dyDescent="0.25">
      <c r="A350" s="2"/>
      <c r="B350" s="2"/>
      <c r="C350" s="2"/>
      <c r="D350" s="2"/>
      <c r="E350" s="2"/>
    </row>
    <row r="351" spans="1:5" x14ac:dyDescent="0.25">
      <c r="A351" s="2"/>
      <c r="B351" s="2"/>
      <c r="C351" s="2"/>
      <c r="D351" s="2"/>
      <c r="E351" s="2"/>
    </row>
    <row r="352" spans="1:5" x14ac:dyDescent="0.25">
      <c r="A352" s="2"/>
      <c r="B352" s="2"/>
      <c r="C352" s="2"/>
      <c r="D352" s="2"/>
      <c r="E352" s="2"/>
    </row>
    <row r="353" spans="1:5" x14ac:dyDescent="0.25">
      <c r="A353" s="2"/>
      <c r="B353" s="2"/>
      <c r="C353" s="2"/>
      <c r="D353" s="2"/>
      <c r="E353" s="2"/>
    </row>
    <row r="354" spans="1:5" x14ac:dyDescent="0.25">
      <c r="A354" s="2"/>
      <c r="B354" s="2"/>
      <c r="C354" s="2"/>
      <c r="D354" s="2"/>
      <c r="E354" s="2"/>
    </row>
    <row r="355" spans="1:5" x14ac:dyDescent="0.25">
      <c r="A355" s="2"/>
      <c r="B355" s="2"/>
      <c r="C355" s="2"/>
      <c r="D355" s="2"/>
      <c r="E355" s="2"/>
    </row>
    <row r="356" spans="1:5" x14ac:dyDescent="0.25">
      <c r="A356" s="2"/>
      <c r="B356" s="2"/>
      <c r="C356" s="2"/>
      <c r="D356" s="2"/>
      <c r="E356" s="2"/>
    </row>
    <row r="357" spans="1:5" x14ac:dyDescent="0.25">
      <c r="A357" s="2"/>
      <c r="B357" s="2"/>
      <c r="C357" s="2"/>
      <c r="D357" s="2"/>
      <c r="E357" s="2"/>
    </row>
    <row r="358" spans="1:5" x14ac:dyDescent="0.25">
      <c r="A358" s="2"/>
      <c r="B358" s="2"/>
      <c r="C358" s="2"/>
      <c r="D358" s="2"/>
      <c r="E358" s="2"/>
    </row>
    <row r="359" spans="1:5" x14ac:dyDescent="0.25">
      <c r="A359" s="2"/>
      <c r="B359" s="2"/>
      <c r="C359" s="2"/>
      <c r="D359" s="2"/>
      <c r="E359" s="2"/>
    </row>
    <row r="360" spans="1:5" x14ac:dyDescent="0.25">
      <c r="A360" s="2"/>
      <c r="B360" s="2"/>
      <c r="C360" s="2"/>
      <c r="D360" s="2"/>
      <c r="E360" s="2"/>
    </row>
    <row r="361" spans="1:5" x14ac:dyDescent="0.25">
      <c r="A361" s="2"/>
      <c r="B361" s="2"/>
      <c r="C361" s="2"/>
      <c r="D361" s="2"/>
      <c r="E361" s="2"/>
    </row>
    <row r="362" spans="1:5" x14ac:dyDescent="0.25">
      <c r="A362" s="2"/>
      <c r="B362" s="2"/>
      <c r="C362" s="2"/>
      <c r="D362" s="2"/>
      <c r="E362" s="2"/>
    </row>
    <row r="363" spans="1:5" x14ac:dyDescent="0.25">
      <c r="A363" s="2"/>
      <c r="B363" s="2"/>
      <c r="C363" s="2"/>
      <c r="D363" s="2"/>
      <c r="E363" s="2"/>
    </row>
    <row r="364" spans="1:5" x14ac:dyDescent="0.25">
      <c r="A364" s="2"/>
      <c r="B364" s="2"/>
      <c r="C364" s="2"/>
      <c r="D364" s="2"/>
      <c r="E364" s="2"/>
    </row>
    <row r="365" spans="1:5" x14ac:dyDescent="0.25">
      <c r="A365" s="2"/>
      <c r="B365" s="2"/>
      <c r="C365" s="2"/>
      <c r="D365" s="2"/>
      <c r="E365" s="2"/>
    </row>
    <row r="366" spans="1:5" x14ac:dyDescent="0.25">
      <c r="A366" s="2"/>
      <c r="B366" s="2"/>
      <c r="C366" s="2"/>
      <c r="D366" s="2"/>
      <c r="E366" s="2"/>
    </row>
    <row r="367" spans="1:5" x14ac:dyDescent="0.25">
      <c r="A367" s="2"/>
      <c r="B367" s="2"/>
      <c r="C367" s="2"/>
      <c r="D367" s="2"/>
      <c r="E367" s="2"/>
    </row>
    <row r="368" spans="1:5" x14ac:dyDescent="0.25">
      <c r="A368" s="2"/>
      <c r="B368" s="2"/>
      <c r="C368" s="2"/>
      <c r="D368" s="2"/>
      <c r="E368" s="2"/>
    </row>
    <row r="369" spans="1:5" x14ac:dyDescent="0.25">
      <c r="A369" s="2"/>
      <c r="B369" s="2"/>
      <c r="C369" s="2"/>
      <c r="D369" s="2"/>
      <c r="E369" s="2"/>
    </row>
    <row r="370" spans="1:5" x14ac:dyDescent="0.25">
      <c r="A370" s="2"/>
      <c r="B370" s="2"/>
      <c r="C370" s="2"/>
      <c r="D370" s="2"/>
      <c r="E370" s="2"/>
    </row>
    <row r="371" spans="1:5" x14ac:dyDescent="0.25">
      <c r="A371" s="2"/>
      <c r="B371" s="2"/>
      <c r="C371" s="2"/>
      <c r="D371" s="2"/>
      <c r="E371" s="2"/>
    </row>
    <row r="372" spans="1:5" x14ac:dyDescent="0.25">
      <c r="A372" s="2"/>
      <c r="B372" s="2"/>
      <c r="C372" s="2"/>
      <c r="D372" s="2"/>
      <c r="E372" s="2"/>
    </row>
    <row r="373" spans="1:5" x14ac:dyDescent="0.25">
      <c r="A373" s="2"/>
      <c r="B373" s="2"/>
      <c r="C373" s="2"/>
      <c r="D373" s="2"/>
      <c r="E373" s="2"/>
    </row>
    <row r="374" spans="1:5" x14ac:dyDescent="0.25">
      <c r="A374" s="2"/>
      <c r="B374" s="2"/>
      <c r="C374" s="2"/>
      <c r="D374" s="2"/>
      <c r="E374" s="2"/>
    </row>
    <row r="375" spans="1:5" x14ac:dyDescent="0.25">
      <c r="A375" s="2"/>
      <c r="B375" s="2"/>
      <c r="C375" s="2"/>
      <c r="D375" s="2"/>
      <c r="E375" s="2"/>
    </row>
    <row r="376" spans="1:5" x14ac:dyDescent="0.25">
      <c r="A376" s="2"/>
      <c r="B376" s="2"/>
      <c r="C376" s="2"/>
      <c r="D376" s="2"/>
      <c r="E376" s="2"/>
    </row>
    <row r="377" spans="1:5" x14ac:dyDescent="0.25">
      <c r="A377" s="2"/>
      <c r="B377" s="2"/>
      <c r="C377" s="2"/>
      <c r="D377" s="2"/>
      <c r="E377" s="2"/>
    </row>
    <row r="378" spans="1:5" x14ac:dyDescent="0.25">
      <c r="A378" s="2"/>
      <c r="B378" s="2"/>
      <c r="C378" s="2"/>
      <c r="D378" s="2"/>
      <c r="E378" s="2"/>
    </row>
    <row r="379" spans="1:5" x14ac:dyDescent="0.25">
      <c r="A379" s="2"/>
      <c r="B379" s="2"/>
      <c r="C379" s="2"/>
      <c r="D379" s="2"/>
      <c r="E379" s="2"/>
    </row>
    <row r="380" spans="1:5" x14ac:dyDescent="0.25">
      <c r="A380" s="2"/>
      <c r="B380" s="2"/>
      <c r="C380" s="2"/>
      <c r="D380" s="2"/>
      <c r="E380" s="2"/>
    </row>
    <row r="381" spans="1:5" x14ac:dyDescent="0.25">
      <c r="A381" s="2"/>
      <c r="B381" s="2"/>
      <c r="C381" s="2"/>
      <c r="D381" s="2"/>
      <c r="E381" s="2"/>
    </row>
    <row r="382" spans="1:5" x14ac:dyDescent="0.25">
      <c r="A382" s="2"/>
      <c r="B382" s="2"/>
      <c r="C382" s="2"/>
      <c r="D382" s="2"/>
      <c r="E382" s="2"/>
    </row>
    <row r="383" spans="1:5" x14ac:dyDescent="0.25">
      <c r="A383" s="2"/>
      <c r="B383" s="2"/>
      <c r="C383" s="2"/>
      <c r="D383" s="2"/>
      <c r="E383" s="2"/>
    </row>
    <row r="384" spans="1:5" x14ac:dyDescent="0.25">
      <c r="A384" s="2"/>
      <c r="B384" s="2"/>
      <c r="C384" s="2"/>
      <c r="D384" s="2"/>
      <c r="E384" s="2"/>
    </row>
    <row r="385" spans="1:5" x14ac:dyDescent="0.25">
      <c r="A385" s="2"/>
      <c r="B385" s="2"/>
      <c r="C385" s="2"/>
      <c r="D385" s="2"/>
      <c r="E385" s="2"/>
    </row>
    <row r="386" spans="1:5" x14ac:dyDescent="0.25">
      <c r="A386" s="2"/>
      <c r="B386" s="2"/>
      <c r="C386" s="2"/>
      <c r="D386" s="2"/>
      <c r="E386" s="2"/>
    </row>
    <row r="387" spans="1:5" x14ac:dyDescent="0.25">
      <c r="A387" s="2"/>
      <c r="B387" s="2"/>
      <c r="C387" s="2"/>
      <c r="D387" s="2"/>
      <c r="E387" s="2"/>
    </row>
    <row r="388" spans="1:5" x14ac:dyDescent="0.25">
      <c r="A388" s="2"/>
      <c r="B388" s="2"/>
      <c r="C388" s="2"/>
      <c r="D388" s="2"/>
      <c r="E388" s="2"/>
    </row>
    <row r="389" spans="1:5" x14ac:dyDescent="0.25">
      <c r="A389" s="2"/>
      <c r="B389" s="2"/>
      <c r="C389" s="2"/>
      <c r="D389" s="2"/>
      <c r="E389" s="2"/>
    </row>
    <row r="390" spans="1:5" x14ac:dyDescent="0.25">
      <c r="A390" s="2"/>
      <c r="B390" s="2"/>
      <c r="C390" s="2"/>
      <c r="D390" s="2"/>
      <c r="E390" s="2"/>
    </row>
    <row r="391" spans="1:5" x14ac:dyDescent="0.25">
      <c r="A391" s="2"/>
      <c r="B391" s="2"/>
      <c r="C391" s="2"/>
      <c r="D391" s="2"/>
      <c r="E391" s="2"/>
    </row>
    <row r="392" spans="1:5" x14ac:dyDescent="0.25">
      <c r="A392" s="2"/>
      <c r="B392" s="2"/>
      <c r="C392" s="2"/>
      <c r="D392" s="2"/>
      <c r="E392" s="2"/>
    </row>
    <row r="393" spans="1:5" x14ac:dyDescent="0.25">
      <c r="A393" s="2"/>
      <c r="B393" s="2"/>
      <c r="C393" s="2"/>
      <c r="D393" s="2"/>
      <c r="E393" s="2"/>
    </row>
    <row r="394" spans="1:5" x14ac:dyDescent="0.25">
      <c r="A394" s="2"/>
      <c r="B394" s="2"/>
      <c r="C394" s="2"/>
      <c r="D394" s="2"/>
      <c r="E394" s="2"/>
    </row>
    <row r="395" spans="1:5" x14ac:dyDescent="0.25">
      <c r="A395" s="2"/>
      <c r="B395" s="2"/>
      <c r="C395" s="2"/>
      <c r="D395" s="2"/>
      <c r="E395" s="2"/>
    </row>
    <row r="396" spans="1:5" x14ac:dyDescent="0.25">
      <c r="A396" s="2"/>
      <c r="B396" s="2"/>
      <c r="C396" s="2"/>
      <c r="D396" s="2"/>
      <c r="E396" s="2"/>
    </row>
    <row r="397" spans="1:5" x14ac:dyDescent="0.25">
      <c r="A397" s="2"/>
      <c r="B397" s="2"/>
      <c r="C397" s="2"/>
      <c r="D397" s="2"/>
      <c r="E397" s="2"/>
    </row>
    <row r="398" spans="1:5" x14ac:dyDescent="0.25">
      <c r="A398" s="2"/>
      <c r="B398" s="2"/>
      <c r="C398" s="2"/>
      <c r="D398" s="2"/>
      <c r="E398" s="2"/>
    </row>
    <row r="399" spans="1:5" x14ac:dyDescent="0.25">
      <c r="A399" s="2"/>
      <c r="B399" s="2"/>
      <c r="C399" s="2"/>
      <c r="D399" s="2"/>
      <c r="E399" s="2"/>
    </row>
    <row r="400" spans="1:5" x14ac:dyDescent="0.25">
      <c r="A400" s="2"/>
      <c r="B400" s="2"/>
      <c r="C400" s="2"/>
      <c r="D400" s="2"/>
      <c r="E400" s="2"/>
    </row>
    <row r="401" spans="1:5" x14ac:dyDescent="0.25">
      <c r="A401" s="2"/>
      <c r="B401" s="2"/>
      <c r="C401" s="2"/>
      <c r="D401" s="2"/>
      <c r="E401" s="2"/>
    </row>
    <row r="402" spans="1:5" x14ac:dyDescent="0.25">
      <c r="A402" s="2"/>
      <c r="B402" s="2"/>
      <c r="C402" s="2"/>
      <c r="D402" s="2"/>
      <c r="E402" s="2"/>
    </row>
    <row r="403" spans="1:5" x14ac:dyDescent="0.25">
      <c r="A403" s="2"/>
      <c r="B403" s="2"/>
      <c r="C403" s="2"/>
      <c r="D403" s="2"/>
      <c r="E403" s="2"/>
    </row>
    <row r="404" spans="1:5" x14ac:dyDescent="0.25">
      <c r="A404" s="2"/>
      <c r="B404" s="2"/>
      <c r="C404" s="2"/>
      <c r="D404" s="2"/>
      <c r="E404" s="2"/>
    </row>
    <row r="405" spans="1:5" x14ac:dyDescent="0.25">
      <c r="A405" s="2"/>
      <c r="B405" s="2"/>
      <c r="C405" s="2"/>
      <c r="D405" s="2"/>
      <c r="E405" s="2"/>
    </row>
    <row r="406" spans="1:5" x14ac:dyDescent="0.25">
      <c r="A406" s="2"/>
      <c r="B406" s="2"/>
      <c r="C406" s="2"/>
      <c r="D406" s="2"/>
      <c r="E406" s="2"/>
    </row>
    <row r="407" spans="1:5" x14ac:dyDescent="0.25">
      <c r="A407" s="2"/>
      <c r="B407" s="2"/>
      <c r="C407" s="2"/>
      <c r="D407" s="2"/>
      <c r="E407" s="2"/>
    </row>
    <row r="408" spans="1:5" x14ac:dyDescent="0.25">
      <c r="A408" s="2"/>
      <c r="B408" s="2"/>
      <c r="C408" s="2"/>
      <c r="D408" s="2"/>
      <c r="E408" s="2"/>
    </row>
    <row r="409" spans="1:5" x14ac:dyDescent="0.25">
      <c r="A409" s="2"/>
      <c r="B409" s="2"/>
      <c r="C409" s="2"/>
      <c r="D409" s="2"/>
      <c r="E409" s="2"/>
    </row>
    <row r="410" spans="1:5" x14ac:dyDescent="0.25">
      <c r="A410" s="2"/>
      <c r="B410" s="2"/>
      <c r="C410" s="2"/>
      <c r="D410" s="2"/>
      <c r="E410" s="2"/>
    </row>
    <row r="411" spans="1:5" x14ac:dyDescent="0.25">
      <c r="A411" s="2"/>
      <c r="B411" s="2"/>
      <c r="C411" s="2"/>
      <c r="D411" s="2"/>
      <c r="E411" s="2"/>
    </row>
    <row r="412" spans="1:5" x14ac:dyDescent="0.25">
      <c r="A412" s="2"/>
      <c r="B412" s="2"/>
      <c r="C412" s="2"/>
      <c r="D412" s="2"/>
      <c r="E412" s="2"/>
    </row>
    <row r="413" spans="1:5" x14ac:dyDescent="0.25">
      <c r="A413" s="2"/>
      <c r="B413" s="2"/>
      <c r="C413" s="2"/>
      <c r="D413" s="2"/>
      <c r="E413" s="2"/>
    </row>
    <row r="414" spans="1:5" x14ac:dyDescent="0.25">
      <c r="A414" s="2"/>
      <c r="B414" s="2"/>
      <c r="C414" s="2"/>
      <c r="D414" s="2"/>
      <c r="E414" s="2"/>
    </row>
    <row r="415" spans="1:5" x14ac:dyDescent="0.25">
      <c r="A415" s="2"/>
      <c r="B415" s="2"/>
      <c r="C415" s="2"/>
      <c r="D415" s="2"/>
      <c r="E415" s="2"/>
    </row>
    <row r="416" spans="1:5" x14ac:dyDescent="0.25">
      <c r="A416" s="2"/>
      <c r="B416" s="2"/>
      <c r="C416" s="2"/>
      <c r="D416" s="2"/>
      <c r="E416" s="2"/>
    </row>
    <row r="417" spans="1:5" x14ac:dyDescent="0.25">
      <c r="A417" s="2"/>
      <c r="B417" s="2"/>
      <c r="C417" s="2"/>
      <c r="D417" s="2"/>
      <c r="E417" s="2"/>
    </row>
    <row r="418" spans="1:5" x14ac:dyDescent="0.25">
      <c r="A418" s="2"/>
      <c r="B418" s="2"/>
      <c r="C418" s="2"/>
      <c r="D418" s="2"/>
      <c r="E418" s="2"/>
    </row>
    <row r="419" spans="1:5" x14ac:dyDescent="0.25">
      <c r="A419" s="2"/>
      <c r="B419" s="2"/>
      <c r="C419" s="2"/>
      <c r="D419" s="2"/>
      <c r="E419" s="2"/>
    </row>
    <row r="420" spans="1:5" x14ac:dyDescent="0.25">
      <c r="A420" s="2"/>
      <c r="B420" s="2"/>
      <c r="C420" s="2"/>
      <c r="D420" s="2"/>
      <c r="E420" s="2"/>
    </row>
    <row r="421" spans="1:5" x14ac:dyDescent="0.25">
      <c r="A421" s="2"/>
      <c r="B421" s="2"/>
      <c r="C421" s="2"/>
      <c r="D421" s="2"/>
      <c r="E421" s="2"/>
    </row>
    <row r="422" spans="1:5" x14ac:dyDescent="0.25">
      <c r="A422" s="2"/>
      <c r="B422" s="2"/>
      <c r="C422" s="2"/>
      <c r="D422" s="2"/>
      <c r="E422" s="2"/>
    </row>
    <row r="423" spans="1:5" x14ac:dyDescent="0.25">
      <c r="A423" s="2"/>
      <c r="B423" s="2"/>
      <c r="C423" s="2"/>
      <c r="D423" s="2"/>
      <c r="E423" s="2"/>
    </row>
    <row r="424" spans="1:5" x14ac:dyDescent="0.25">
      <c r="A424" s="2"/>
      <c r="B424" s="2"/>
      <c r="C424" s="2"/>
      <c r="D424" s="2"/>
      <c r="E424" s="2"/>
    </row>
    <row r="425" spans="1:5" x14ac:dyDescent="0.25">
      <c r="A425" s="2"/>
      <c r="B425" s="2"/>
      <c r="C425" s="2"/>
      <c r="D425" s="2"/>
      <c r="E425" s="2"/>
    </row>
    <row r="426" spans="1:5" x14ac:dyDescent="0.25">
      <c r="A426" s="2"/>
      <c r="B426" s="2"/>
      <c r="C426" s="2"/>
      <c r="D426" s="2"/>
      <c r="E426" s="2"/>
    </row>
    <row r="427" spans="1:5" x14ac:dyDescent="0.25">
      <c r="A427" s="2"/>
      <c r="B427" s="2"/>
      <c r="C427" s="2"/>
      <c r="D427" s="2"/>
      <c r="E427" s="2"/>
    </row>
    <row r="428" spans="1:5" x14ac:dyDescent="0.25">
      <c r="A428" s="2"/>
      <c r="B428" s="2"/>
      <c r="C428" s="2"/>
      <c r="D428" s="2"/>
      <c r="E428" s="2"/>
    </row>
    <row r="429" spans="1:5" x14ac:dyDescent="0.25">
      <c r="A429" s="2"/>
      <c r="B429" s="2"/>
      <c r="C429" s="2"/>
      <c r="D429" s="2"/>
      <c r="E429" s="2"/>
    </row>
    <row r="430" spans="1:5" x14ac:dyDescent="0.25">
      <c r="A430" s="2"/>
      <c r="B430" s="2"/>
      <c r="C430" s="2"/>
      <c r="D430" s="2"/>
      <c r="E430" s="2"/>
    </row>
    <row r="431" spans="1:5" x14ac:dyDescent="0.25">
      <c r="A431" s="2"/>
      <c r="B431" s="2"/>
      <c r="C431" s="2"/>
      <c r="D431" s="2"/>
      <c r="E431" s="2"/>
    </row>
    <row r="432" spans="1:5" x14ac:dyDescent="0.25">
      <c r="A432" s="2"/>
      <c r="B432" s="2"/>
      <c r="C432" s="2"/>
      <c r="D432" s="2"/>
      <c r="E432" s="2"/>
    </row>
    <row r="433" spans="1:5" x14ac:dyDescent="0.25">
      <c r="A433" s="2"/>
      <c r="B433" s="2"/>
      <c r="C433" s="2"/>
      <c r="D433" s="2"/>
      <c r="E433" s="2"/>
    </row>
    <row r="434" spans="1:5" x14ac:dyDescent="0.25">
      <c r="A434" s="2"/>
      <c r="B434" s="2"/>
      <c r="C434" s="2"/>
      <c r="D434" s="2"/>
      <c r="E434" s="2"/>
    </row>
    <row r="435" spans="1:5" x14ac:dyDescent="0.25">
      <c r="A435" s="2"/>
      <c r="B435" s="2"/>
      <c r="C435" s="2"/>
      <c r="D435" s="2"/>
      <c r="E435" s="2"/>
    </row>
    <row r="436" spans="1:5" x14ac:dyDescent="0.25">
      <c r="A436" s="2"/>
      <c r="B436" s="2"/>
      <c r="C436" s="2"/>
      <c r="D436" s="2"/>
      <c r="E436" s="2"/>
    </row>
    <row r="437" spans="1:5" x14ac:dyDescent="0.25">
      <c r="A437" s="2"/>
      <c r="B437" s="2"/>
      <c r="C437" s="2"/>
      <c r="D437" s="2"/>
      <c r="E437" s="2"/>
    </row>
    <row r="438" spans="1:5" x14ac:dyDescent="0.25">
      <c r="A438" s="2"/>
      <c r="B438" s="2"/>
      <c r="C438" s="2"/>
      <c r="D438" s="2"/>
      <c r="E438" s="2"/>
    </row>
    <row r="439" spans="1:5" x14ac:dyDescent="0.25">
      <c r="A439" s="2"/>
      <c r="B439" s="2"/>
      <c r="C439" s="2"/>
      <c r="D439" s="2"/>
      <c r="E439" s="2"/>
    </row>
    <row r="440" spans="1:5" x14ac:dyDescent="0.25">
      <c r="A440" s="2"/>
      <c r="B440" s="2"/>
      <c r="C440" s="2"/>
      <c r="D440" s="2"/>
      <c r="E440" s="2"/>
    </row>
    <row r="441" spans="1:5" x14ac:dyDescent="0.25">
      <c r="A441" s="2"/>
      <c r="B441" s="2"/>
      <c r="C441" s="2"/>
      <c r="D441" s="2"/>
      <c r="E441" s="2"/>
    </row>
    <row r="442" spans="1:5" x14ac:dyDescent="0.25">
      <c r="A442" s="2"/>
      <c r="B442" s="2"/>
      <c r="C442" s="2"/>
      <c r="D442" s="2"/>
      <c r="E442" s="2"/>
    </row>
    <row r="443" spans="1:5" x14ac:dyDescent="0.25">
      <c r="A443" s="2"/>
      <c r="B443" s="2"/>
      <c r="C443" s="2"/>
      <c r="D443" s="2"/>
      <c r="E443" s="2"/>
    </row>
    <row r="444" spans="1:5" x14ac:dyDescent="0.25">
      <c r="A444" s="2"/>
      <c r="B444" s="2"/>
      <c r="C444" s="2"/>
      <c r="D444" s="2"/>
      <c r="E444" s="2"/>
    </row>
    <row r="445" spans="1:5" x14ac:dyDescent="0.25">
      <c r="A445" s="2"/>
      <c r="B445" s="2"/>
      <c r="C445" s="2"/>
      <c r="D445" s="2"/>
      <c r="E445" s="2"/>
    </row>
    <row r="446" spans="1:5" x14ac:dyDescent="0.25">
      <c r="A446" s="2"/>
      <c r="B446" s="2"/>
      <c r="C446" s="2"/>
      <c r="D446" s="2"/>
      <c r="E446" s="2"/>
    </row>
    <row r="447" spans="1:5" x14ac:dyDescent="0.25">
      <c r="A447" s="2"/>
      <c r="B447" s="2"/>
      <c r="C447" s="2"/>
      <c r="D447" s="2"/>
      <c r="E447" s="2"/>
    </row>
    <row r="448" spans="1:5" x14ac:dyDescent="0.25">
      <c r="A448" s="2"/>
      <c r="B448" s="2"/>
      <c r="C448" s="2"/>
      <c r="D448" s="2"/>
      <c r="E448" s="2"/>
    </row>
    <row r="449" spans="1:5" x14ac:dyDescent="0.25">
      <c r="A449" s="2"/>
      <c r="B449" s="2"/>
      <c r="C449" s="2"/>
      <c r="D449" s="2"/>
      <c r="E449" s="2"/>
    </row>
    <row r="450" spans="1:5" x14ac:dyDescent="0.25">
      <c r="A450" s="2"/>
      <c r="B450" s="2"/>
      <c r="C450" s="2"/>
      <c r="D450" s="2"/>
      <c r="E450" s="2"/>
    </row>
    <row r="451" spans="1:5" x14ac:dyDescent="0.25">
      <c r="A451" s="2"/>
      <c r="B451" s="2"/>
      <c r="C451" s="2"/>
      <c r="D451" s="2"/>
      <c r="E451" s="2"/>
    </row>
    <row r="452" spans="1:5" x14ac:dyDescent="0.25">
      <c r="A452" s="2"/>
      <c r="B452" s="2"/>
      <c r="C452" s="2"/>
      <c r="D452" s="2"/>
      <c r="E452" s="2"/>
    </row>
    <row r="453" spans="1:5" x14ac:dyDescent="0.25">
      <c r="A453" s="2"/>
      <c r="B453" s="2"/>
      <c r="C453" s="2"/>
      <c r="D453" s="2"/>
      <c r="E453" s="2"/>
    </row>
    <row r="454" spans="1:5" x14ac:dyDescent="0.25">
      <c r="A454" s="2"/>
      <c r="B454" s="2"/>
      <c r="C454" s="2"/>
      <c r="D454" s="2"/>
      <c r="E454" s="2"/>
    </row>
    <row r="455" spans="1:5" x14ac:dyDescent="0.25">
      <c r="A455" s="2"/>
      <c r="B455" s="2"/>
      <c r="C455" s="2"/>
      <c r="D455" s="2"/>
      <c r="E455" s="2"/>
    </row>
    <row r="456" spans="1:5" x14ac:dyDescent="0.25">
      <c r="A456" s="2"/>
      <c r="B456" s="2"/>
      <c r="C456" s="2"/>
      <c r="D456" s="2"/>
      <c r="E456" s="2"/>
    </row>
    <row r="457" spans="1:5" x14ac:dyDescent="0.25">
      <c r="A457" s="2"/>
      <c r="B457" s="2"/>
      <c r="C457" s="2"/>
      <c r="D457" s="2"/>
      <c r="E457" s="2"/>
    </row>
    <row r="458" spans="1:5" x14ac:dyDescent="0.25">
      <c r="A458" s="2"/>
      <c r="B458" s="2"/>
      <c r="C458" s="2"/>
      <c r="D458" s="2"/>
      <c r="E458" s="2"/>
    </row>
    <row r="459" spans="1:5" x14ac:dyDescent="0.25">
      <c r="A459" s="2"/>
      <c r="B459" s="2"/>
      <c r="C459" s="2"/>
      <c r="D459" s="2"/>
      <c r="E459" s="2"/>
    </row>
    <row r="460" spans="1:5" x14ac:dyDescent="0.25">
      <c r="A460" s="2"/>
      <c r="B460" s="2"/>
      <c r="C460" s="2"/>
      <c r="D460" s="2"/>
      <c r="E460" s="2"/>
    </row>
    <row r="461" spans="1:5" x14ac:dyDescent="0.25">
      <c r="A461" s="2"/>
      <c r="B461" s="2"/>
      <c r="C461" s="2"/>
      <c r="D461" s="2"/>
      <c r="E461" s="2"/>
    </row>
    <row r="462" spans="1:5" x14ac:dyDescent="0.25">
      <c r="A462" s="2"/>
      <c r="B462" s="2"/>
      <c r="C462" s="2"/>
      <c r="D462" s="2"/>
      <c r="E462" s="2"/>
    </row>
    <row r="463" spans="1:5" x14ac:dyDescent="0.25">
      <c r="A463" s="2"/>
      <c r="B463" s="2"/>
      <c r="C463" s="2"/>
      <c r="D463" s="2"/>
      <c r="E463" s="2"/>
    </row>
    <row r="464" spans="1:5" x14ac:dyDescent="0.25">
      <c r="A464" s="2"/>
      <c r="B464" s="2"/>
      <c r="C464" s="2"/>
      <c r="D464" s="2"/>
      <c r="E464" s="2"/>
    </row>
    <row r="465" spans="1:5" x14ac:dyDescent="0.25">
      <c r="A465" s="2"/>
      <c r="B465" s="2"/>
      <c r="C465" s="2"/>
      <c r="D465" s="2"/>
      <c r="E465" s="2"/>
    </row>
    <row r="466" spans="1:5" x14ac:dyDescent="0.25">
      <c r="A466" s="2"/>
      <c r="B466" s="2"/>
      <c r="C466" s="2"/>
      <c r="D466" s="2"/>
      <c r="E466" s="2"/>
    </row>
    <row r="467" spans="1:5" x14ac:dyDescent="0.25">
      <c r="A467" s="2"/>
      <c r="B467" s="2"/>
      <c r="C467" s="2"/>
      <c r="D467" s="2"/>
      <c r="E467" s="2"/>
    </row>
    <row r="468" spans="1:5" x14ac:dyDescent="0.25">
      <c r="A468" s="2"/>
      <c r="B468" s="2"/>
      <c r="C468" s="2"/>
      <c r="D468" s="2"/>
      <c r="E468" s="2"/>
    </row>
    <row r="469" spans="1:5" x14ac:dyDescent="0.25">
      <c r="A469" s="2"/>
      <c r="B469" s="2"/>
      <c r="C469" s="2"/>
      <c r="D469" s="2"/>
      <c r="E469" s="2"/>
    </row>
    <row r="470" spans="1:5" x14ac:dyDescent="0.25">
      <c r="A470" s="2"/>
      <c r="B470" s="2"/>
      <c r="C470" s="2"/>
      <c r="D470" s="2"/>
      <c r="E470" s="2"/>
    </row>
    <row r="471" spans="1:5" x14ac:dyDescent="0.25">
      <c r="A471" s="2"/>
      <c r="B471" s="2"/>
      <c r="C471" s="2"/>
      <c r="D471" s="2"/>
      <c r="E471" s="2"/>
    </row>
    <row r="472" spans="1:5" x14ac:dyDescent="0.25">
      <c r="A472" s="2"/>
      <c r="B472" s="2"/>
      <c r="C472" s="2"/>
      <c r="D472" s="2"/>
      <c r="E472" s="2"/>
    </row>
    <row r="473" spans="1:5" x14ac:dyDescent="0.25">
      <c r="A473" s="2"/>
      <c r="B473" s="2"/>
      <c r="C473" s="2"/>
      <c r="D473" s="2"/>
      <c r="E473" s="2"/>
    </row>
    <row r="474" spans="1:5" x14ac:dyDescent="0.25">
      <c r="A474" s="2"/>
      <c r="B474" s="2"/>
      <c r="C474" s="2"/>
      <c r="D474" s="2"/>
      <c r="E474" s="2"/>
    </row>
    <row r="475" spans="1:5" x14ac:dyDescent="0.25">
      <c r="A475" s="2"/>
      <c r="B475" s="2"/>
      <c r="C475" s="2"/>
      <c r="D475" s="2"/>
      <c r="E475" s="2"/>
    </row>
    <row r="476" spans="1:5" x14ac:dyDescent="0.25">
      <c r="A476" s="2"/>
      <c r="B476" s="2"/>
      <c r="C476" s="2"/>
      <c r="D476" s="2"/>
      <c r="E476" s="2"/>
    </row>
    <row r="477" spans="1:5" x14ac:dyDescent="0.25">
      <c r="A477" s="2"/>
      <c r="B477" s="2"/>
      <c r="C477" s="2"/>
      <c r="D477" s="2"/>
      <c r="E477" s="2"/>
    </row>
    <row r="478" spans="1:5" x14ac:dyDescent="0.25">
      <c r="A478" s="2"/>
      <c r="B478" s="2"/>
      <c r="C478" s="2"/>
      <c r="D478" s="2"/>
      <c r="E478" s="2"/>
    </row>
    <row r="479" spans="1:5" x14ac:dyDescent="0.25">
      <c r="A479" s="2"/>
      <c r="B479" s="2"/>
      <c r="C479" s="2"/>
      <c r="D479" s="2"/>
      <c r="E479" s="2"/>
    </row>
    <row r="480" spans="1:5" x14ac:dyDescent="0.25">
      <c r="A480" s="2"/>
      <c r="B480" s="2"/>
      <c r="C480" s="2"/>
      <c r="D480" s="2"/>
      <c r="E480" s="2"/>
    </row>
    <row r="481" spans="1:5" x14ac:dyDescent="0.25">
      <c r="A481" s="2"/>
      <c r="B481" s="2"/>
      <c r="C481" s="2"/>
      <c r="D481" s="2"/>
      <c r="E481" s="2"/>
    </row>
    <row r="482" spans="1:5" x14ac:dyDescent="0.25">
      <c r="A482" s="2"/>
      <c r="B482" s="2"/>
      <c r="C482" s="2"/>
      <c r="D482" s="2"/>
      <c r="E482" s="2"/>
    </row>
    <row r="483" spans="1:5" x14ac:dyDescent="0.25">
      <c r="A483" s="2"/>
      <c r="B483" s="2"/>
      <c r="C483" s="2"/>
      <c r="D483" s="2"/>
      <c r="E483" s="2"/>
    </row>
    <row r="484" spans="1:5" x14ac:dyDescent="0.25">
      <c r="A484" s="2"/>
      <c r="B484" s="2"/>
      <c r="C484" s="2"/>
      <c r="D484" s="2"/>
      <c r="E484" s="2"/>
    </row>
    <row r="485" spans="1:5" x14ac:dyDescent="0.25">
      <c r="A485" s="2"/>
      <c r="B485" s="2"/>
      <c r="C485" s="2"/>
      <c r="D485" s="2"/>
      <c r="E485" s="2"/>
    </row>
    <row r="486" spans="1:5" x14ac:dyDescent="0.25">
      <c r="A486" s="2"/>
      <c r="B486" s="2"/>
      <c r="C486" s="2"/>
      <c r="D486" s="2"/>
      <c r="E486" s="2"/>
    </row>
    <row r="487" spans="1:5" x14ac:dyDescent="0.25">
      <c r="A487" s="2"/>
      <c r="B487" s="2"/>
      <c r="C487" s="2"/>
      <c r="D487" s="2"/>
      <c r="E487" s="2"/>
    </row>
    <row r="488" spans="1:5" x14ac:dyDescent="0.25">
      <c r="A488" s="2"/>
      <c r="B488" s="2"/>
      <c r="C488" s="2"/>
      <c r="D488" s="2"/>
      <c r="E488" s="2"/>
    </row>
    <row r="489" spans="1:5" x14ac:dyDescent="0.25">
      <c r="A489" s="2"/>
      <c r="B489" s="2"/>
      <c r="C489" s="2"/>
      <c r="D489" s="2"/>
      <c r="E489" s="2"/>
    </row>
    <row r="490" spans="1:5" x14ac:dyDescent="0.25">
      <c r="A490" s="2"/>
      <c r="B490" s="2"/>
      <c r="C490" s="2"/>
      <c r="D490" s="2"/>
      <c r="E490" s="2"/>
    </row>
    <row r="491" spans="1:5" x14ac:dyDescent="0.25">
      <c r="A491" s="2"/>
      <c r="B491" s="2"/>
      <c r="C491" s="2"/>
      <c r="D491" s="2"/>
      <c r="E491" s="2"/>
    </row>
    <row r="492" spans="1:5" x14ac:dyDescent="0.25">
      <c r="A492" s="2"/>
      <c r="B492" s="2"/>
      <c r="C492" s="2"/>
      <c r="D492" s="2"/>
      <c r="E492" s="2"/>
    </row>
    <row r="493" spans="1:5" x14ac:dyDescent="0.25">
      <c r="A493" s="2"/>
      <c r="B493" s="2"/>
      <c r="C493" s="2"/>
      <c r="D493" s="2"/>
      <c r="E493" s="2"/>
    </row>
    <row r="494" spans="1:5" x14ac:dyDescent="0.25">
      <c r="A494" s="2"/>
      <c r="B494" s="2"/>
      <c r="C494" s="2"/>
      <c r="D494" s="2"/>
      <c r="E494" s="2"/>
    </row>
    <row r="495" spans="1:5" x14ac:dyDescent="0.25">
      <c r="A495" s="2"/>
      <c r="B495" s="2"/>
      <c r="C495" s="2"/>
      <c r="D495" s="2"/>
      <c r="E495" s="2"/>
    </row>
    <row r="496" spans="1:5" x14ac:dyDescent="0.25">
      <c r="A496" s="2"/>
      <c r="B496" s="2"/>
      <c r="C496" s="2"/>
      <c r="D496" s="2"/>
      <c r="E496" s="2"/>
    </row>
    <row r="497" spans="1:5" x14ac:dyDescent="0.25">
      <c r="A497" s="2"/>
      <c r="B497" s="2"/>
      <c r="C497" s="2"/>
      <c r="D497" s="2"/>
      <c r="E497" s="2"/>
    </row>
    <row r="498" spans="1:5" x14ac:dyDescent="0.25">
      <c r="A498" s="2"/>
      <c r="B498" s="2"/>
      <c r="C498" s="2"/>
      <c r="D498" s="2"/>
      <c r="E498" s="2"/>
    </row>
    <row r="499" spans="1:5" x14ac:dyDescent="0.25">
      <c r="A499" s="2"/>
      <c r="B499" s="2"/>
      <c r="C499" s="2"/>
      <c r="D499" s="2"/>
      <c r="E499" s="2"/>
    </row>
    <row r="500" spans="1:5" x14ac:dyDescent="0.25">
      <c r="A500" s="2"/>
      <c r="B500" s="2"/>
      <c r="C500" s="2"/>
      <c r="D500" s="2"/>
      <c r="E500" s="2"/>
    </row>
    <row r="501" spans="1:5" x14ac:dyDescent="0.25">
      <c r="A501" s="2"/>
      <c r="B501" s="2"/>
      <c r="C501" s="2"/>
      <c r="D501" s="2"/>
      <c r="E501" s="2"/>
    </row>
    <row r="502" spans="1:5" x14ac:dyDescent="0.25">
      <c r="A502" s="2"/>
      <c r="B502" s="2"/>
      <c r="C502" s="2"/>
      <c r="D502" s="2"/>
      <c r="E502" s="2"/>
    </row>
    <row r="503" spans="1:5" x14ac:dyDescent="0.25">
      <c r="A503" s="2"/>
      <c r="B503" s="2"/>
      <c r="C503" s="2"/>
      <c r="D503" s="2"/>
      <c r="E503" s="2"/>
    </row>
  </sheetData>
  <phoneticPr fontId="3" type="noConversion"/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7"/>
  <sheetViews>
    <sheetView workbookViewId="0">
      <pane ySplit="1" topLeftCell="A2" activePane="bottomLeft" state="frozen"/>
      <selection pane="bottomLeft" activeCell="A142" sqref="A98:XFD142"/>
    </sheetView>
  </sheetViews>
  <sheetFormatPr baseColWidth="10" defaultColWidth="9.140625" defaultRowHeight="15" x14ac:dyDescent="0.25"/>
  <cols>
    <col min="1" max="1" width="10.7109375" bestFit="1" customWidth="1"/>
    <col min="2" max="2" width="15.7109375" bestFit="1" customWidth="1"/>
    <col min="3" max="3" width="15.42578125" bestFit="1" customWidth="1"/>
    <col min="4" max="4" width="27.5703125" bestFit="1" customWidth="1"/>
    <col min="5" max="5" width="44.7109375" bestFit="1" customWidth="1"/>
    <col min="6" max="6" width="14.7109375" bestFit="1" customWidth="1"/>
    <col min="8" max="8" width="12.5703125" bestFit="1" customWidth="1"/>
    <col min="9" max="9" width="12" customWidth="1"/>
    <col min="10" max="10" width="47.85546875" bestFit="1" customWidth="1"/>
    <col min="11" max="11" width="17.28515625" bestFit="1" customWidth="1"/>
    <col min="12" max="12" width="16" customWidth="1"/>
  </cols>
  <sheetData>
    <row r="1" spans="1:12" ht="35.25" customHeight="1" x14ac:dyDescent="0.25">
      <c r="A1" s="1" t="s">
        <v>317</v>
      </c>
      <c r="B1" s="1" t="s">
        <v>477</v>
      </c>
      <c r="C1" s="1" t="s">
        <v>469</v>
      </c>
      <c r="D1" s="1" t="s">
        <v>472</v>
      </c>
      <c r="E1" s="1" t="s">
        <v>7</v>
      </c>
      <c r="F1" s="1" t="s">
        <v>337</v>
      </c>
      <c r="G1" s="1" t="s">
        <v>319</v>
      </c>
      <c r="H1" s="1" t="s">
        <v>480</v>
      </c>
      <c r="I1" s="1" t="s">
        <v>318</v>
      </c>
      <c r="J1" s="1" t="s">
        <v>470</v>
      </c>
      <c r="K1" s="1" t="s">
        <v>471</v>
      </c>
      <c r="L1" s="1" t="s">
        <v>473</v>
      </c>
    </row>
    <row r="2" spans="1:12" x14ac:dyDescent="0.25">
      <c r="A2" s="3">
        <v>46022</v>
      </c>
      <c r="B2" s="3" t="str">
        <f>TEXT(tblSorties[[#This Row],[Date]],"aaaa-mm")</f>
        <v>2025-12</v>
      </c>
      <c r="C2" s="3" t="s">
        <v>135</v>
      </c>
      <c r="D2" s="2" t="str">
        <f>IFERROR(_xlfn.XLOOKUP(TRIM(tblSorties[[#This Row],[Machine]]),tblmachines[ID_Machine],tblmachines[Modèle]),"")</f>
        <v>MF3555</v>
      </c>
      <c r="E2" s="2" t="str">
        <f>IFERROR(_xlfn.XLOOKUP(tblSorties[[#This Row],[Machine]], tblmachines[ID_Machine], tblmachines[Client]), "")</f>
        <v>FUERST PLAST</v>
      </c>
      <c r="F2" s="2" t="s">
        <v>331</v>
      </c>
      <c r="G2" s="2" t="s">
        <v>320</v>
      </c>
      <c r="H2" s="2" t="s">
        <v>5</v>
      </c>
      <c r="I2" s="4">
        <v>1</v>
      </c>
      <c r="J2" s="4" t="str">
        <f>tblSorties[[#This Row],[Modele]]&amp;"|"&amp;tblSorties[[#This Row],[Référence]]&amp;"|"&amp;tblSorties[[#This Row],[Couleur]]&amp;"|"&amp;tblSorties[[#This Row],[Type_Toner]]</f>
        <v>MF3555|B1417|K|Compatible</v>
      </c>
      <c r="K2" s="2">
        <f>_xlfn.XLOOKUP(tblSorties[[#This Row],[Cleprix]], tblprix[ClePrix], tblprix[Prix achat HT])</f>
        <v>33.4</v>
      </c>
      <c r="L2" s="2">
        <f>tblSorties[[#This Row],[Quantité]]*tblSorties[[#This Row],[Prix_Unitaire]]</f>
        <v>33.4</v>
      </c>
    </row>
    <row r="3" spans="1:12" x14ac:dyDescent="0.25">
      <c r="A3" s="3">
        <v>46022</v>
      </c>
      <c r="B3" s="3" t="str">
        <f>TEXT(tblSorties[[#This Row],[Date]],"aaaa-mm")</f>
        <v>2025-12</v>
      </c>
      <c r="C3" s="3" t="s">
        <v>135</v>
      </c>
      <c r="D3" s="2" t="str">
        <f>IFERROR(_xlfn.XLOOKUP(TRIM(tblSorties[[#This Row],[Machine]]),tblmachines[ID_Machine],tblmachines[Modèle]),"")</f>
        <v>MF3555</v>
      </c>
      <c r="E3" s="2" t="str">
        <f>IFERROR(_xlfn.XLOOKUP(tblSorties[[#This Row],[Machine]], tblmachines[ID_Machine], tblmachines[Client]), "")</f>
        <v>FUERST PLAST</v>
      </c>
      <c r="F3" s="2" t="s">
        <v>334</v>
      </c>
      <c r="G3" s="2" t="s">
        <v>322</v>
      </c>
      <c r="H3" s="2" t="s">
        <v>5</v>
      </c>
      <c r="I3" s="4">
        <v>1</v>
      </c>
      <c r="J3" s="4" t="str">
        <f>tblSorties[[#This Row],[Modele]]&amp;"|"&amp;tblSorties[[#This Row],[Référence]]&amp;"|"&amp;tblSorties[[#This Row],[Couleur]]&amp;"|"&amp;tblSorties[[#This Row],[Type_Toner]]</f>
        <v>MF3555|B1418|C|Compatible</v>
      </c>
      <c r="K3" s="2">
        <f>_xlfn.XLOOKUP(tblSorties[[#This Row],[Cleprix]], tblprix[ClePrix], tblprix[Prix achat HT])</f>
        <v>40</v>
      </c>
      <c r="L3" s="2">
        <f>tblSorties[[#This Row],[Quantité]]*tblSorties[[#This Row],[Prix_Unitaire]]</f>
        <v>40</v>
      </c>
    </row>
    <row r="4" spans="1:12" x14ac:dyDescent="0.25">
      <c r="A4" s="3">
        <v>46022</v>
      </c>
      <c r="B4" s="3" t="str">
        <f>TEXT(tblSorties[[#This Row],[Date]],"aaaa-mm")</f>
        <v>2025-12</v>
      </c>
      <c r="C4" s="3" t="s">
        <v>135</v>
      </c>
      <c r="D4" s="2" t="str">
        <f>IFERROR(_xlfn.XLOOKUP(TRIM(tblSorties[[#This Row],[Machine]]),tblmachines[ID_Machine],tblmachines[Modèle]),"")</f>
        <v>MF3555</v>
      </c>
      <c r="E4" s="2" t="str">
        <f>IFERROR(_xlfn.XLOOKUP(tblSorties[[#This Row],[Machine]], tblmachines[ID_Machine], tblmachines[Client]), "")</f>
        <v>FUERST PLAST</v>
      </c>
      <c r="F4" s="2" t="s">
        <v>335</v>
      </c>
      <c r="G4" s="2" t="s">
        <v>323</v>
      </c>
      <c r="H4" s="2" t="s">
        <v>5</v>
      </c>
      <c r="I4" s="4">
        <v>1</v>
      </c>
      <c r="J4" s="4" t="str">
        <f>tblSorties[[#This Row],[Modele]]&amp;"|"&amp;tblSorties[[#This Row],[Référence]]&amp;"|"&amp;tblSorties[[#This Row],[Couleur]]&amp;"|"&amp;tblSorties[[#This Row],[Type_Toner]]</f>
        <v>MF3555|B1419|M|Compatible</v>
      </c>
      <c r="K4" s="2">
        <f>_xlfn.XLOOKUP(tblSorties[[#This Row],[Cleprix]], tblprix[ClePrix], tblprix[Prix achat HT])</f>
        <v>40</v>
      </c>
      <c r="L4" s="2">
        <f>tblSorties[[#This Row],[Quantité]]*tblSorties[[#This Row],[Prix_Unitaire]]</f>
        <v>40</v>
      </c>
    </row>
    <row r="5" spans="1:12" x14ac:dyDescent="0.25">
      <c r="A5" s="3">
        <v>46022</v>
      </c>
      <c r="B5" s="3" t="str">
        <f>TEXT(tblSorties[[#This Row],[Date]],"aaaa-mm")</f>
        <v>2025-12</v>
      </c>
      <c r="C5" s="3" t="s">
        <v>135</v>
      </c>
      <c r="D5" s="2" t="str">
        <f>IFERROR(_xlfn.XLOOKUP(TRIM(tblSorties[[#This Row],[Machine]]),tblmachines[ID_Machine],tblmachines[Modèle]),"")</f>
        <v>MF3555</v>
      </c>
      <c r="E5" s="2" t="str">
        <f>IFERROR(_xlfn.XLOOKUP(tblSorties[[#This Row],[Machine]], tblmachines[ID_Machine], tblmachines[Client]), "")</f>
        <v>FUERST PLAST</v>
      </c>
      <c r="F5" s="2" t="s">
        <v>336</v>
      </c>
      <c r="G5" s="2" t="s">
        <v>324</v>
      </c>
      <c r="H5" s="2" t="s">
        <v>5</v>
      </c>
      <c r="I5" s="4">
        <v>1</v>
      </c>
      <c r="J5" s="4" t="str">
        <f>tblSorties[[#This Row],[Modele]]&amp;"|"&amp;tblSorties[[#This Row],[Référence]]&amp;"|"&amp;tblSorties[[#This Row],[Couleur]]&amp;"|"&amp;tblSorties[[#This Row],[Type_Toner]]</f>
        <v>MF3555|B1420|Y|Compatible</v>
      </c>
      <c r="K5" s="2">
        <f>_xlfn.XLOOKUP(tblSorties[[#This Row],[Cleprix]], tblprix[ClePrix], tblprix[Prix achat HT])</f>
        <v>40</v>
      </c>
      <c r="L5" s="2">
        <f>tblSorties[[#This Row],[Quantité]]*tblSorties[[#This Row],[Prix_Unitaire]]</f>
        <v>40</v>
      </c>
    </row>
    <row r="6" spans="1:12" x14ac:dyDescent="0.25">
      <c r="A6" s="3">
        <v>46022</v>
      </c>
      <c r="B6" s="3" t="str">
        <f>TEXT(tblSorties[[#This Row],[Date]],"aaaa-mm")</f>
        <v>2025-12</v>
      </c>
      <c r="C6" s="3" t="s">
        <v>139</v>
      </c>
      <c r="D6" s="2" t="str">
        <f>IFERROR(_xlfn.XLOOKUP(TRIM(tblSorties[[#This Row],[Machine]]),tblmachines[ID_Machine],tblmachines[Modèle]),"")</f>
        <v>MF3555</v>
      </c>
      <c r="E6" s="2" t="str">
        <f>IFERROR(_xlfn.XLOOKUP(tblSorties[[#This Row],[Machine]], tblmachines[ID_Machine], tblmachines[Client]), "")</f>
        <v>FUTUR PLAST CPTA</v>
      </c>
      <c r="F6" s="2" t="s">
        <v>334</v>
      </c>
      <c r="G6" s="2" t="s">
        <v>322</v>
      </c>
      <c r="H6" s="2" t="s">
        <v>4</v>
      </c>
      <c r="I6" s="4">
        <v>1</v>
      </c>
      <c r="J6" s="4" t="str">
        <f>tblSorties[[#This Row],[Modele]]&amp;"|"&amp;tblSorties[[#This Row],[Référence]]&amp;"|"&amp;tblSorties[[#This Row],[Couleur]]&amp;"|"&amp;tblSorties[[#This Row],[Type_Toner]]</f>
        <v>MF3555|B1418|C|Original</v>
      </c>
      <c r="K6" s="2">
        <f>_xlfn.XLOOKUP(tblSorties[[#This Row],[Cleprix]], tblprix[ClePrix], tblprix[Prix achat HT])</f>
        <v>121.89</v>
      </c>
      <c r="L6" s="2">
        <f>tblSorties[[#This Row],[Quantité]]*tblSorties[[#This Row],[Prix_Unitaire]]</f>
        <v>121.89</v>
      </c>
    </row>
    <row r="7" spans="1:12" x14ac:dyDescent="0.25">
      <c r="A7" s="3">
        <v>46022</v>
      </c>
      <c r="B7" s="3" t="str">
        <f>TEXT(tblSorties[[#This Row],[Date]],"aaaa-mm")</f>
        <v>2025-12</v>
      </c>
      <c r="C7" s="3" t="s">
        <v>139</v>
      </c>
      <c r="D7" s="2" t="str">
        <f>IFERROR(_xlfn.XLOOKUP(TRIM(tblSorties[[#This Row],[Machine]]),tblmachines[ID_Machine],tblmachines[Modèle]),"")</f>
        <v>MF3555</v>
      </c>
      <c r="E7" s="2" t="str">
        <f>IFERROR(_xlfn.XLOOKUP(tblSorties[[#This Row],[Machine]], tblmachines[ID_Machine], tblmachines[Client]), "")</f>
        <v>FUTUR PLAST CPTA</v>
      </c>
      <c r="F7" s="2" t="s">
        <v>335</v>
      </c>
      <c r="G7" s="2" t="s">
        <v>323</v>
      </c>
      <c r="H7" s="2" t="s">
        <v>4</v>
      </c>
      <c r="I7" s="4">
        <v>1</v>
      </c>
      <c r="J7" s="4" t="str">
        <f>tblSorties[[#This Row],[Modele]]&amp;"|"&amp;tblSorties[[#This Row],[Référence]]&amp;"|"&amp;tblSorties[[#This Row],[Couleur]]&amp;"|"&amp;tblSorties[[#This Row],[Type_Toner]]</f>
        <v>MF3555|B1419|M|Original</v>
      </c>
      <c r="K7" s="2">
        <f>_xlfn.XLOOKUP(tblSorties[[#This Row],[Cleprix]], tblprix[ClePrix], tblprix[Prix achat HT])</f>
        <v>128.33000000000001</v>
      </c>
      <c r="L7" s="2">
        <f>tblSorties[[#This Row],[Quantité]]*tblSorties[[#This Row],[Prix_Unitaire]]</f>
        <v>128.33000000000001</v>
      </c>
    </row>
    <row r="8" spans="1:12" x14ac:dyDescent="0.25">
      <c r="A8" s="3">
        <v>46022</v>
      </c>
      <c r="B8" s="3" t="str">
        <f>TEXT(tblSorties[[#This Row],[Date]],"aaaa-mm")</f>
        <v>2025-12</v>
      </c>
      <c r="C8" s="3" t="s">
        <v>139</v>
      </c>
      <c r="D8" s="2" t="str">
        <f>IFERROR(_xlfn.XLOOKUP(TRIM(tblSorties[[#This Row],[Machine]]),tblmachines[ID_Machine],tblmachines[Modèle]),"")</f>
        <v>MF3555</v>
      </c>
      <c r="E8" s="2" t="str">
        <f>IFERROR(_xlfn.XLOOKUP(tblSorties[[#This Row],[Machine]], tblmachines[ID_Machine], tblmachines[Client]), "")</f>
        <v>FUTUR PLAST CPTA</v>
      </c>
      <c r="F8" s="2" t="s">
        <v>336</v>
      </c>
      <c r="G8" s="2" t="s">
        <v>324</v>
      </c>
      <c r="H8" s="2" t="s">
        <v>4</v>
      </c>
      <c r="I8" s="4">
        <v>1</v>
      </c>
      <c r="J8" s="4" t="str">
        <f>tblSorties[[#This Row],[Modele]]&amp;"|"&amp;tblSorties[[#This Row],[Référence]]&amp;"|"&amp;tblSorties[[#This Row],[Couleur]]&amp;"|"&amp;tblSorties[[#This Row],[Type_Toner]]</f>
        <v>MF3555|B1420|Y|Original</v>
      </c>
      <c r="K8" s="2">
        <f>_xlfn.XLOOKUP(tblSorties[[#This Row],[Cleprix]], tblprix[ClePrix], tblprix[Prix achat HT])</f>
        <v>128.33000000000001</v>
      </c>
      <c r="L8" s="2">
        <f>tblSorties[[#This Row],[Quantité]]*tblSorties[[#This Row],[Prix_Unitaire]]</f>
        <v>128.33000000000001</v>
      </c>
    </row>
    <row r="9" spans="1:12" x14ac:dyDescent="0.25">
      <c r="A9" s="3">
        <v>46022</v>
      </c>
      <c r="B9" s="3" t="str">
        <f>TEXT(tblSorties[[#This Row],[Date]],"aaaa-mm")</f>
        <v>2025-12</v>
      </c>
      <c r="C9" s="3" t="s">
        <v>142</v>
      </c>
      <c r="D9" s="2" t="str">
        <f>IFERROR(_xlfn.XLOOKUP(TRIM(tblSorties[[#This Row],[Machine]]),tblmachines[ID_Machine],tblmachines[Modèle]),"")</f>
        <v>MF3555</v>
      </c>
      <c r="E9" s="2" t="str">
        <f>IFERROR(_xlfn.XLOOKUP(tblSorties[[#This Row],[Machine]], tblmachines[ID_Machine], tblmachines[Client]), "")</f>
        <v>FUTUR PLAST LOGISTIQU</v>
      </c>
      <c r="F9" s="2" t="s">
        <v>335</v>
      </c>
      <c r="G9" s="2" t="s">
        <v>323</v>
      </c>
      <c r="H9" s="2" t="s">
        <v>4</v>
      </c>
      <c r="I9" s="4">
        <v>1</v>
      </c>
      <c r="J9" s="4" t="str">
        <f>tblSorties[[#This Row],[Modele]]&amp;"|"&amp;tblSorties[[#This Row],[Référence]]&amp;"|"&amp;tblSorties[[#This Row],[Couleur]]&amp;"|"&amp;tblSorties[[#This Row],[Type_Toner]]</f>
        <v>MF3555|B1419|M|Original</v>
      </c>
      <c r="K9" s="2">
        <f>_xlfn.XLOOKUP(tblSorties[[#This Row],[Cleprix]], tblprix[ClePrix], tblprix[Prix achat HT])</f>
        <v>128.33000000000001</v>
      </c>
      <c r="L9" s="2">
        <f>tblSorties[[#This Row],[Quantité]]*tblSorties[[#This Row],[Prix_Unitaire]]</f>
        <v>128.33000000000001</v>
      </c>
    </row>
    <row r="10" spans="1:12" x14ac:dyDescent="0.25">
      <c r="A10" s="3">
        <v>46022</v>
      </c>
      <c r="B10" s="3" t="str">
        <f>TEXT(tblSorties[[#This Row],[Date]],"aaaa-mm")</f>
        <v>2025-12</v>
      </c>
      <c r="C10" s="3" t="s">
        <v>142</v>
      </c>
      <c r="D10" s="2" t="str">
        <f>IFERROR(_xlfn.XLOOKUP(TRIM(tblSorties[[#This Row],[Machine]]),tblmachines[ID_Machine],tblmachines[Modèle]),"")</f>
        <v>MF3555</v>
      </c>
      <c r="E10" s="2" t="str">
        <f>IFERROR(_xlfn.XLOOKUP(tblSorties[[#This Row],[Machine]], tblmachines[ID_Machine], tblmachines[Client]), "")</f>
        <v>FUTUR PLAST LOGISTIQU</v>
      </c>
      <c r="F10" s="2" t="s">
        <v>336</v>
      </c>
      <c r="G10" s="2" t="s">
        <v>324</v>
      </c>
      <c r="H10" s="2" t="s">
        <v>4</v>
      </c>
      <c r="I10" s="4">
        <v>1</v>
      </c>
      <c r="J10" s="4" t="str">
        <f>tblSorties[[#This Row],[Modele]]&amp;"|"&amp;tblSorties[[#This Row],[Référence]]&amp;"|"&amp;tblSorties[[#This Row],[Couleur]]&amp;"|"&amp;tblSorties[[#This Row],[Type_Toner]]</f>
        <v>MF3555|B1420|Y|Original</v>
      </c>
      <c r="K10" s="2">
        <f>_xlfn.XLOOKUP(tblSorties[[#This Row],[Cleprix]], tblprix[ClePrix], tblprix[Prix achat HT])</f>
        <v>128.33000000000001</v>
      </c>
      <c r="L10" s="2">
        <f>tblSorties[[#This Row],[Quantité]]*tblSorties[[#This Row],[Prix_Unitaire]]</f>
        <v>128.33000000000001</v>
      </c>
    </row>
    <row r="11" spans="1:12" x14ac:dyDescent="0.25">
      <c r="A11" s="3">
        <v>46022</v>
      </c>
      <c r="B11" s="3" t="str">
        <f>TEXT(tblSorties[[#This Row],[Date]],"aaaa-mm")</f>
        <v>2025-12</v>
      </c>
      <c r="C11" s="3" t="s">
        <v>150</v>
      </c>
      <c r="D11" s="2" t="str">
        <f>IFERROR(_xlfn.XLOOKUP(TRIM(tblSorties[[#This Row],[Machine]]),tblmachines[ID_Machine],tblmachines[Modèle]),"")</f>
        <v>MF3555</v>
      </c>
      <c r="E11" s="2" t="str">
        <f>IFERROR(_xlfn.XLOOKUP(tblSorties[[#This Row],[Machine]], tblmachines[ID_Machine], tblmachines[Client]), "")</f>
        <v>GEDEAS</v>
      </c>
      <c r="F11" s="2" t="s">
        <v>331</v>
      </c>
      <c r="G11" s="2" t="s">
        <v>320</v>
      </c>
      <c r="H11" s="2" t="s">
        <v>4</v>
      </c>
      <c r="I11" s="4">
        <v>1</v>
      </c>
      <c r="J11" s="4" t="str">
        <f>tblSorties[[#This Row],[Modele]]&amp;"|"&amp;tblSorties[[#This Row],[Référence]]&amp;"|"&amp;tblSorties[[#This Row],[Couleur]]&amp;"|"&amp;tblSorties[[#This Row],[Type_Toner]]</f>
        <v>MF3555|B1417|K|Original</v>
      </c>
      <c r="K11" s="2">
        <f>_xlfn.XLOOKUP(tblSorties[[#This Row],[Cleprix]], tblprix[ClePrix], tblprix[Prix achat HT])</f>
        <v>67.11</v>
      </c>
      <c r="L11" s="2">
        <f>tblSorties[[#This Row],[Quantité]]*tblSorties[[#This Row],[Prix_Unitaire]]</f>
        <v>67.11</v>
      </c>
    </row>
    <row r="12" spans="1:12" x14ac:dyDescent="0.25">
      <c r="A12" s="3">
        <v>46022</v>
      </c>
      <c r="B12" s="3" t="str">
        <f>TEXT(tblSorties[[#This Row],[Date]],"aaaa-mm")</f>
        <v>2025-12</v>
      </c>
      <c r="C12" s="3" t="s">
        <v>150</v>
      </c>
      <c r="D12" s="2" t="str">
        <f>IFERROR(_xlfn.XLOOKUP(TRIM(tblSorties[[#This Row],[Machine]]),tblmachines[ID_Machine],tblmachines[Modèle]),"")</f>
        <v>MF3555</v>
      </c>
      <c r="E12" s="2" t="str">
        <f>IFERROR(_xlfn.XLOOKUP(tblSorties[[#This Row],[Machine]], tblmachines[ID_Machine], tblmachines[Client]), "")</f>
        <v>GEDEAS</v>
      </c>
      <c r="F12" s="2" t="s">
        <v>334</v>
      </c>
      <c r="G12" s="2" t="s">
        <v>322</v>
      </c>
      <c r="H12" s="2" t="s">
        <v>4</v>
      </c>
      <c r="I12" s="4">
        <v>1</v>
      </c>
      <c r="J12" s="4" t="str">
        <f>tblSorties[[#This Row],[Modele]]&amp;"|"&amp;tblSorties[[#This Row],[Référence]]&amp;"|"&amp;tblSorties[[#This Row],[Couleur]]&amp;"|"&amp;tblSorties[[#This Row],[Type_Toner]]</f>
        <v>MF3555|B1418|C|Original</v>
      </c>
      <c r="K12" s="2">
        <f>_xlfn.XLOOKUP(tblSorties[[#This Row],[Cleprix]], tblprix[ClePrix], tblprix[Prix achat HT])</f>
        <v>121.89</v>
      </c>
      <c r="L12" s="2">
        <f>tblSorties[[#This Row],[Quantité]]*tblSorties[[#This Row],[Prix_Unitaire]]</f>
        <v>121.89</v>
      </c>
    </row>
    <row r="13" spans="1:12" x14ac:dyDescent="0.25">
      <c r="A13" s="3">
        <v>46022</v>
      </c>
      <c r="B13" s="3" t="str">
        <f>TEXT(tblSorties[[#This Row],[Date]],"aaaa-mm")</f>
        <v>2025-12</v>
      </c>
      <c r="C13" s="3" t="s">
        <v>150</v>
      </c>
      <c r="D13" s="2" t="str">
        <f>IFERROR(_xlfn.XLOOKUP(TRIM(tblSorties[[#This Row],[Machine]]),tblmachines[ID_Machine],tblmachines[Modèle]),"")</f>
        <v>MF3555</v>
      </c>
      <c r="E13" s="2" t="str">
        <f>IFERROR(_xlfn.XLOOKUP(tblSorties[[#This Row],[Machine]], tblmachines[ID_Machine], tblmachines[Client]), "")</f>
        <v>GEDEAS</v>
      </c>
      <c r="F13" s="2" t="s">
        <v>335</v>
      </c>
      <c r="G13" s="2" t="s">
        <v>323</v>
      </c>
      <c r="H13" s="2" t="s">
        <v>4</v>
      </c>
      <c r="I13" s="4">
        <v>1</v>
      </c>
      <c r="J13" s="4" t="str">
        <f>tblSorties[[#This Row],[Modele]]&amp;"|"&amp;tblSorties[[#This Row],[Référence]]&amp;"|"&amp;tblSorties[[#This Row],[Couleur]]&amp;"|"&amp;tblSorties[[#This Row],[Type_Toner]]</f>
        <v>MF3555|B1419|M|Original</v>
      </c>
      <c r="K13" s="2">
        <f>_xlfn.XLOOKUP(tblSorties[[#This Row],[Cleprix]], tblprix[ClePrix], tblprix[Prix achat HT])</f>
        <v>128.33000000000001</v>
      </c>
      <c r="L13" s="2">
        <f>tblSorties[[#This Row],[Quantité]]*tblSorties[[#This Row],[Prix_Unitaire]]</f>
        <v>128.33000000000001</v>
      </c>
    </row>
    <row r="14" spans="1:12" x14ac:dyDescent="0.25">
      <c r="A14" s="3">
        <v>46022</v>
      </c>
      <c r="B14" s="3" t="str">
        <f>TEXT(tblSorties[[#This Row],[Date]],"aaaa-mm")</f>
        <v>2025-12</v>
      </c>
      <c r="C14" s="3" t="s">
        <v>157</v>
      </c>
      <c r="D14" s="2" t="str">
        <f>IFERROR(_xlfn.XLOOKUP(TRIM(tblSorties[[#This Row],[Machine]]),tblmachines[ID_Machine],tblmachines[Modèle]),"")</f>
        <v>MF3555</v>
      </c>
      <c r="E14" s="2" t="str">
        <f>IFERROR(_xlfn.XLOOKUP(tblSorties[[#This Row],[Machine]], tblmachines[ID_Machine], tblmachines[Client]), "")</f>
        <v>GRAVURE CONCEPT</v>
      </c>
      <c r="F14" s="2" t="s">
        <v>334</v>
      </c>
      <c r="G14" s="2" t="s">
        <v>322</v>
      </c>
      <c r="H14" s="2" t="s">
        <v>4</v>
      </c>
      <c r="I14" s="4">
        <v>1</v>
      </c>
      <c r="J14" s="4" t="str">
        <f>tblSorties[[#This Row],[Modele]]&amp;"|"&amp;tblSorties[[#This Row],[Référence]]&amp;"|"&amp;tblSorties[[#This Row],[Couleur]]&amp;"|"&amp;tblSorties[[#This Row],[Type_Toner]]</f>
        <v>MF3555|B1418|C|Original</v>
      </c>
      <c r="K14" s="2">
        <f>_xlfn.XLOOKUP(tblSorties[[#This Row],[Cleprix]], tblprix[ClePrix], tblprix[Prix achat HT])</f>
        <v>121.89</v>
      </c>
      <c r="L14" s="2">
        <f>tblSorties[[#This Row],[Quantité]]*tblSorties[[#This Row],[Prix_Unitaire]]</f>
        <v>121.89</v>
      </c>
    </row>
    <row r="15" spans="1:12" x14ac:dyDescent="0.25">
      <c r="A15" s="3">
        <v>46022</v>
      </c>
      <c r="B15" s="3" t="str">
        <f>TEXT(tblSorties[[#This Row],[Date]],"aaaa-mm")</f>
        <v>2025-12</v>
      </c>
      <c r="C15" s="3" t="s">
        <v>157</v>
      </c>
      <c r="D15" s="2" t="str">
        <f>IFERROR(_xlfn.XLOOKUP(TRIM(tblSorties[[#This Row],[Machine]]),tblmachines[ID_Machine],tblmachines[Modèle]),"")</f>
        <v>MF3555</v>
      </c>
      <c r="E15" s="2" t="str">
        <f>IFERROR(_xlfn.XLOOKUP(tblSorties[[#This Row],[Machine]], tblmachines[ID_Machine], tblmachines[Client]), "")</f>
        <v>GRAVURE CONCEPT</v>
      </c>
      <c r="F15" s="2" t="s">
        <v>335</v>
      </c>
      <c r="G15" s="2" t="s">
        <v>323</v>
      </c>
      <c r="H15" s="2" t="s">
        <v>4</v>
      </c>
      <c r="I15" s="4">
        <v>1</v>
      </c>
      <c r="J15" s="4" t="str">
        <f>tblSorties[[#This Row],[Modele]]&amp;"|"&amp;tblSorties[[#This Row],[Référence]]&amp;"|"&amp;tblSorties[[#This Row],[Couleur]]&amp;"|"&amp;tblSorties[[#This Row],[Type_Toner]]</f>
        <v>MF3555|B1419|M|Original</v>
      </c>
      <c r="K15" s="2">
        <f>_xlfn.XLOOKUP(tblSorties[[#This Row],[Cleprix]], tblprix[ClePrix], tblprix[Prix achat HT])</f>
        <v>128.33000000000001</v>
      </c>
      <c r="L15" s="2">
        <f>tblSorties[[#This Row],[Quantité]]*tblSorties[[#This Row],[Prix_Unitaire]]</f>
        <v>128.33000000000001</v>
      </c>
    </row>
    <row r="16" spans="1:12" x14ac:dyDescent="0.25">
      <c r="A16" s="3">
        <v>46022</v>
      </c>
      <c r="B16" s="3" t="str">
        <f>TEXT(tblSorties[[#This Row],[Date]],"aaaa-mm")</f>
        <v>2025-12</v>
      </c>
      <c r="C16" s="3" t="s">
        <v>157</v>
      </c>
      <c r="D16" s="2" t="str">
        <f>IFERROR(_xlfn.XLOOKUP(TRIM(tblSorties[[#This Row],[Machine]]),tblmachines[ID_Machine],tblmachines[Modèle]),"")</f>
        <v>MF3555</v>
      </c>
      <c r="E16" s="2" t="str">
        <f>IFERROR(_xlfn.XLOOKUP(tblSorties[[#This Row],[Machine]], tblmachines[ID_Machine], tblmachines[Client]), "")</f>
        <v>GRAVURE CONCEPT</v>
      </c>
      <c r="F16" s="2" t="s">
        <v>336</v>
      </c>
      <c r="G16" s="2" t="s">
        <v>324</v>
      </c>
      <c r="H16" s="2" t="s">
        <v>4</v>
      </c>
      <c r="I16" s="4">
        <v>1</v>
      </c>
      <c r="J16" s="4" t="str">
        <f>tblSorties[[#This Row],[Modele]]&amp;"|"&amp;tblSorties[[#This Row],[Référence]]&amp;"|"&amp;tblSorties[[#This Row],[Couleur]]&amp;"|"&amp;tblSorties[[#This Row],[Type_Toner]]</f>
        <v>MF3555|B1420|Y|Original</v>
      </c>
      <c r="K16" s="2">
        <f>_xlfn.XLOOKUP(tblSorties[[#This Row],[Cleprix]], tblprix[ClePrix], tblprix[Prix achat HT])</f>
        <v>128.33000000000001</v>
      </c>
      <c r="L16" s="2">
        <f>tblSorties[[#This Row],[Quantité]]*tblSorties[[#This Row],[Prix_Unitaire]]</f>
        <v>128.33000000000001</v>
      </c>
    </row>
    <row r="17" spans="1:12" x14ac:dyDescent="0.25">
      <c r="A17" s="3">
        <v>46022</v>
      </c>
      <c r="B17" s="3" t="str">
        <f>TEXT(tblSorties[[#This Row],[Date]],"aaaa-mm")</f>
        <v>2025-12</v>
      </c>
      <c r="C17" s="3" t="s">
        <v>153</v>
      </c>
      <c r="D17" s="2" t="str">
        <f>IFERROR(_xlfn.XLOOKUP(TRIM(tblSorties[[#This Row],[Machine]]),tblmachines[ID_Machine],tblmachines[Modèle]),"")</f>
        <v>306Ci</v>
      </c>
      <c r="E17" s="2" t="str">
        <f>IFERROR(_xlfn.XLOOKUP(tblSorties[[#This Row],[Machine]], tblmachines[ID_Machine], tblmachines[Client]), "")</f>
        <v>GRAVURE CONCEPT</v>
      </c>
      <c r="F17" s="2" t="s">
        <v>362</v>
      </c>
      <c r="G17" s="2" t="s">
        <v>322</v>
      </c>
      <c r="H17" s="2" t="s">
        <v>4</v>
      </c>
      <c r="I17" s="4">
        <v>1</v>
      </c>
      <c r="J17" s="4" t="str">
        <f>tblSorties[[#This Row],[Modele]]&amp;"|"&amp;tblSorties[[#This Row],[Référence]]&amp;"|"&amp;tblSorties[[#This Row],[Couleur]]&amp;"|"&amp;tblSorties[[#This Row],[Type_Toner]]</f>
        <v>306Ci|TK5195C|C|Original</v>
      </c>
      <c r="K17" s="2">
        <f>_xlfn.XLOOKUP(tblSorties[[#This Row],[Cleprix]], tblprix[ClePrix], tblprix[Prix achat HT])</f>
        <v>94.5</v>
      </c>
      <c r="L17" s="2">
        <f>tblSorties[[#This Row],[Quantité]]*tblSorties[[#This Row],[Prix_Unitaire]]</f>
        <v>94.5</v>
      </c>
    </row>
    <row r="18" spans="1:12" x14ac:dyDescent="0.25">
      <c r="A18" s="3">
        <v>46022</v>
      </c>
      <c r="B18" s="3" t="str">
        <f>TEXT(tblSorties[[#This Row],[Date]],"aaaa-mm")</f>
        <v>2025-12</v>
      </c>
      <c r="C18" s="3" t="s">
        <v>201</v>
      </c>
      <c r="D18" s="2" t="str">
        <f>IFERROR(_xlfn.XLOOKUP(TRIM(tblSorties[[#This Row],[Machine]]),tblmachines[ID_Machine],tblmachines[Modèle]),"")</f>
        <v>MF3555</v>
      </c>
      <c r="E18" s="2" t="str">
        <f>IFERROR(_xlfn.XLOOKUP(tblSorties[[#This Row],[Machine]], tblmachines[ID_Machine], tblmachines[Client]), "")</f>
        <v>GILLIER ET SCHMITT HUISSIER</v>
      </c>
      <c r="F18" s="2" t="s">
        <v>334</v>
      </c>
      <c r="G18" s="2" t="s">
        <v>322</v>
      </c>
      <c r="H18" s="2" t="s">
        <v>4</v>
      </c>
      <c r="I18" s="4">
        <v>1</v>
      </c>
      <c r="J18" s="4" t="str">
        <f>tblSorties[[#This Row],[Modele]]&amp;"|"&amp;tblSorties[[#This Row],[Référence]]&amp;"|"&amp;tblSorties[[#This Row],[Couleur]]&amp;"|"&amp;tblSorties[[#This Row],[Type_Toner]]</f>
        <v>MF3555|B1418|C|Original</v>
      </c>
      <c r="K18" s="2">
        <f>_xlfn.XLOOKUP(tblSorties[[#This Row],[Cleprix]], tblprix[ClePrix], tblprix[Prix achat HT])</f>
        <v>121.89</v>
      </c>
      <c r="L18" s="2">
        <f>tblSorties[[#This Row],[Quantité]]*tblSorties[[#This Row],[Prix_Unitaire]]</f>
        <v>121.89</v>
      </c>
    </row>
    <row r="19" spans="1:12" x14ac:dyDescent="0.25">
      <c r="A19" s="3">
        <v>46022</v>
      </c>
      <c r="B19" s="3" t="str">
        <f>TEXT(tblSorties[[#This Row],[Date]],"aaaa-mm")</f>
        <v>2025-12</v>
      </c>
      <c r="C19" s="3" t="s">
        <v>201</v>
      </c>
      <c r="D19" s="2" t="str">
        <f>IFERROR(_xlfn.XLOOKUP(TRIM(tblSorties[[#This Row],[Machine]]),tblmachines[ID_Machine],tblmachines[Modèle]),"")</f>
        <v>MF3555</v>
      </c>
      <c r="E19" s="2" t="str">
        <f>IFERROR(_xlfn.XLOOKUP(tblSorties[[#This Row],[Machine]], tblmachines[ID_Machine], tblmachines[Client]), "")</f>
        <v>GILLIER ET SCHMITT HUISSIER</v>
      </c>
      <c r="F19" s="2" t="s">
        <v>335</v>
      </c>
      <c r="G19" s="2" t="s">
        <v>323</v>
      </c>
      <c r="H19" s="2" t="s">
        <v>4</v>
      </c>
      <c r="I19" s="4">
        <v>1</v>
      </c>
      <c r="J19" s="4" t="str">
        <f>tblSorties[[#This Row],[Modele]]&amp;"|"&amp;tblSorties[[#This Row],[Référence]]&amp;"|"&amp;tblSorties[[#This Row],[Couleur]]&amp;"|"&amp;tblSorties[[#This Row],[Type_Toner]]</f>
        <v>MF3555|B1419|M|Original</v>
      </c>
      <c r="K19" s="2">
        <f>_xlfn.XLOOKUP(tblSorties[[#This Row],[Cleprix]], tblprix[ClePrix], tblprix[Prix achat HT])</f>
        <v>128.33000000000001</v>
      </c>
      <c r="L19" s="2">
        <f>tblSorties[[#This Row],[Quantité]]*tblSorties[[#This Row],[Prix_Unitaire]]</f>
        <v>128.33000000000001</v>
      </c>
    </row>
    <row r="20" spans="1:12" x14ac:dyDescent="0.25">
      <c r="A20" s="3">
        <v>46022</v>
      </c>
      <c r="B20" s="3" t="str">
        <f>TEXT(tblSorties[[#This Row],[Date]],"aaaa-mm")</f>
        <v>2025-12</v>
      </c>
      <c r="C20" s="3" t="s">
        <v>201</v>
      </c>
      <c r="D20" s="2" t="str">
        <f>IFERROR(_xlfn.XLOOKUP(TRIM(tblSorties[[#This Row],[Machine]]),tblmachines[ID_Machine],tblmachines[Modèle]),"")</f>
        <v>MF3555</v>
      </c>
      <c r="E20" s="2" t="str">
        <f>IFERROR(_xlfn.XLOOKUP(tblSorties[[#This Row],[Machine]], tblmachines[ID_Machine], tblmachines[Client]), "")</f>
        <v>GILLIER ET SCHMITT HUISSIER</v>
      </c>
      <c r="F20" s="2" t="s">
        <v>336</v>
      </c>
      <c r="G20" s="2" t="s">
        <v>324</v>
      </c>
      <c r="H20" s="2" t="s">
        <v>4</v>
      </c>
      <c r="I20" s="4">
        <v>1</v>
      </c>
      <c r="J20" s="4" t="str">
        <f>tblSorties[[#This Row],[Modele]]&amp;"|"&amp;tblSorties[[#This Row],[Référence]]&amp;"|"&amp;tblSorties[[#This Row],[Couleur]]&amp;"|"&amp;tblSorties[[#This Row],[Type_Toner]]</f>
        <v>MF3555|B1420|Y|Original</v>
      </c>
      <c r="K20" s="2">
        <f>_xlfn.XLOOKUP(tblSorties[[#This Row],[Cleprix]], tblprix[ClePrix], tblprix[Prix achat HT])</f>
        <v>128.33000000000001</v>
      </c>
      <c r="L20" s="2">
        <f>tblSorties[[#This Row],[Quantité]]*tblSorties[[#This Row],[Prix_Unitaire]]</f>
        <v>128.33000000000001</v>
      </c>
    </row>
    <row r="21" spans="1:12" x14ac:dyDescent="0.25">
      <c r="A21" s="3">
        <v>46022</v>
      </c>
      <c r="B21" s="3" t="str">
        <f>TEXT(tblSorties[[#This Row],[Date]],"aaaa-mm")</f>
        <v>2025-12</v>
      </c>
      <c r="C21" s="3" t="s">
        <v>21</v>
      </c>
      <c r="D21" s="2" t="str">
        <f>IFERROR(_xlfn.XLOOKUP(TRIM(tblSorties[[#This Row],[Machine]]),tblmachines[ID_Machine],tblmachines[Modèle]),"")</f>
        <v>6054CI/5064CI/5054</v>
      </c>
      <c r="E21" s="2" t="str">
        <f>IFERROR(_xlfn.XLOOKUP(tblSorties[[#This Row],[Machine]], tblmachines[ID_Machine], tblmachines[Client]), "")</f>
        <v>APESUD</v>
      </c>
      <c r="F21" s="2" t="s">
        <v>369</v>
      </c>
      <c r="G21" s="2" t="s">
        <v>320</v>
      </c>
      <c r="H21" s="2" t="s">
        <v>4</v>
      </c>
      <c r="I21" s="4">
        <v>1</v>
      </c>
      <c r="J21" s="4" t="str">
        <f>tblSorties[[#This Row],[Modele]]&amp;"|"&amp;tblSorties[[#This Row],[Référence]]&amp;"|"&amp;tblSorties[[#This Row],[Couleur]]&amp;"|"&amp;tblSorties[[#This Row],[Type_Toner]]</f>
        <v>6054CI/5064CI/5054|TK8555K|K|Original</v>
      </c>
      <c r="K21" s="2">
        <f>_xlfn.XLOOKUP(tblSorties[[#This Row],[Cleprix]], tblprix[ClePrix], tblprix[Prix achat HT])</f>
        <v>75</v>
      </c>
      <c r="L21" s="2">
        <f>tblSorties[[#This Row],[Quantité]]*tblSorties[[#This Row],[Prix_Unitaire]]</f>
        <v>75</v>
      </c>
    </row>
    <row r="22" spans="1:12" x14ac:dyDescent="0.25">
      <c r="A22" s="3">
        <v>46022</v>
      </c>
      <c r="B22" s="3" t="str">
        <f>TEXT(tblSorties[[#This Row],[Date]],"aaaa-mm")</f>
        <v>2025-12</v>
      </c>
      <c r="C22" s="3" t="s">
        <v>21</v>
      </c>
      <c r="D22" s="2" t="str">
        <f>IFERROR(_xlfn.XLOOKUP(TRIM(tblSorties[[#This Row],[Machine]]),tblmachines[ID_Machine],tblmachines[Modèle]),"")</f>
        <v>6054CI/5064CI/5054</v>
      </c>
      <c r="E22" s="2" t="str">
        <f>IFERROR(_xlfn.XLOOKUP(tblSorties[[#This Row],[Machine]], tblmachines[ID_Machine], tblmachines[Client]), "")</f>
        <v>APESUD</v>
      </c>
      <c r="F22" s="2" t="s">
        <v>371</v>
      </c>
      <c r="G22" s="2" t="s">
        <v>323</v>
      </c>
      <c r="H22" s="2" t="s">
        <v>4</v>
      </c>
      <c r="I22" s="4">
        <v>1</v>
      </c>
      <c r="J22" s="4" t="str">
        <f>tblSorties[[#This Row],[Modele]]&amp;"|"&amp;tblSorties[[#This Row],[Référence]]&amp;"|"&amp;tblSorties[[#This Row],[Couleur]]&amp;"|"&amp;tblSorties[[#This Row],[Type_Toner]]</f>
        <v>6054CI/5064CI/5054|TK8555M|M|Original</v>
      </c>
      <c r="K22" s="2">
        <f>_xlfn.XLOOKUP(tblSorties[[#This Row],[Cleprix]], tblprix[ClePrix], tblprix[Prix achat HT])</f>
        <v>127.51</v>
      </c>
      <c r="L22" s="2">
        <f>tblSorties[[#This Row],[Quantité]]*tblSorties[[#This Row],[Prix_Unitaire]]</f>
        <v>127.51</v>
      </c>
    </row>
    <row r="23" spans="1:12" x14ac:dyDescent="0.25">
      <c r="A23" s="3">
        <v>46022</v>
      </c>
      <c r="B23" s="3" t="str">
        <f>TEXT(tblSorties[[#This Row],[Date]],"aaaa-mm")</f>
        <v>2025-12</v>
      </c>
      <c r="C23" s="3" t="s">
        <v>25</v>
      </c>
      <c r="D23" s="2" t="str">
        <f>IFERROR(_xlfn.XLOOKUP(TRIM(tblSorties[[#This Row],[Machine]]),tblmachines[ID_Machine],tblmachines[Modèle]),"")</f>
        <v>+4000i</v>
      </c>
      <c r="E23" s="2" t="str">
        <f>IFERROR(_xlfn.XLOOKUP(tblSorties[[#This Row],[Machine]], tblmachines[ID_Machine], tblmachines[Client]), "")</f>
        <v>APESUD</v>
      </c>
      <c r="F23" s="2" t="s">
        <v>406</v>
      </c>
      <c r="G23" s="2" t="s">
        <v>320</v>
      </c>
      <c r="H23" s="2" t="s">
        <v>4</v>
      </c>
      <c r="I23">
        <v>1</v>
      </c>
      <c r="J23" s="4" t="str">
        <f>tblSorties[[#This Row],[Modele]]&amp;"|"&amp;tblSorties[[#This Row],[Référence]]&amp;"|"&amp;tblSorties[[#This Row],[Couleur]]&amp;"|"&amp;tblSorties[[#This Row],[Type_Toner]]</f>
        <v>+4000i|TNP81K|K|Original</v>
      </c>
      <c r="K23" s="2">
        <f>_xlfn.XLOOKUP(tblSorties[[#This Row],[Cleprix]], tblprix[ClePrix], tblprix[Prix achat HT])</f>
        <v>31.15</v>
      </c>
      <c r="L23" s="2">
        <f>tblSorties[[#This Row],[Quantité]]*tblSorties[[#This Row],[Prix_Unitaire]]</f>
        <v>31.15</v>
      </c>
    </row>
    <row r="24" spans="1:12" x14ac:dyDescent="0.25">
      <c r="A24" s="3">
        <v>46022</v>
      </c>
      <c r="B24" s="3" t="str">
        <f>TEXT(tblSorties[[#This Row],[Date]],"aaaa-mm")</f>
        <v>2025-12</v>
      </c>
      <c r="C24" s="3" t="s">
        <v>25</v>
      </c>
      <c r="D24" s="2" t="str">
        <f>IFERROR(_xlfn.XLOOKUP(TRIM(tblSorties[[#This Row],[Machine]]),tblmachines[ID_Machine],tblmachines[Modèle]),"")</f>
        <v>+4000i</v>
      </c>
      <c r="E24" s="2" t="str">
        <f>IFERROR(_xlfn.XLOOKUP(tblSorties[[#This Row],[Machine]], tblmachines[ID_Machine], tblmachines[Client]), "")</f>
        <v>APESUD</v>
      </c>
      <c r="F24" s="2" t="s">
        <v>407</v>
      </c>
      <c r="G24" s="2" t="s">
        <v>322</v>
      </c>
      <c r="H24" s="2" t="s">
        <v>4</v>
      </c>
      <c r="I24" s="2">
        <v>2</v>
      </c>
      <c r="J24" s="4" t="str">
        <f>tblSorties[[#This Row],[Modele]]&amp;"|"&amp;tblSorties[[#This Row],[Référence]]&amp;"|"&amp;tblSorties[[#This Row],[Couleur]]&amp;"|"&amp;tblSorties[[#This Row],[Type_Toner]]</f>
        <v>+4000i|TNP81C|C|Original</v>
      </c>
      <c r="K24" s="2">
        <f>_xlfn.XLOOKUP(tblSorties[[#This Row],[Cleprix]], tblprix[ClePrix], tblprix[Prix achat HT])</f>
        <v>37.53</v>
      </c>
      <c r="L24" s="2">
        <f>tblSorties[[#This Row],[Quantité]]*tblSorties[[#This Row],[Prix_Unitaire]]</f>
        <v>75.06</v>
      </c>
    </row>
    <row r="25" spans="1:12" x14ac:dyDescent="0.25">
      <c r="A25" s="3">
        <v>46022</v>
      </c>
      <c r="B25" s="3" t="str">
        <f>TEXT(tblSorties[[#This Row],[Date]],"aaaa-mm")</f>
        <v>2025-12</v>
      </c>
      <c r="C25" s="3" t="s">
        <v>25</v>
      </c>
      <c r="D25" s="2" t="str">
        <f>IFERROR(_xlfn.XLOOKUP(TRIM(tblSorties[[#This Row],[Machine]]),tblmachines[ID_Machine],tblmachines[Modèle]),"")</f>
        <v>+4000i</v>
      </c>
      <c r="E25" s="2" t="str">
        <f>IFERROR(_xlfn.XLOOKUP(tblSorties[[#This Row],[Machine]], tblmachines[ID_Machine], tblmachines[Client]), "")</f>
        <v>APESUD</v>
      </c>
      <c r="F25" s="2" t="s">
        <v>408</v>
      </c>
      <c r="G25" s="2" t="s">
        <v>323</v>
      </c>
      <c r="H25" s="2" t="s">
        <v>4</v>
      </c>
      <c r="I25" s="2">
        <v>2</v>
      </c>
      <c r="J25" s="4" t="str">
        <f>tblSorties[[#This Row],[Modele]]&amp;"|"&amp;tblSorties[[#This Row],[Référence]]&amp;"|"&amp;tblSorties[[#This Row],[Couleur]]&amp;"|"&amp;tblSorties[[#This Row],[Type_Toner]]</f>
        <v>+4000i|TNP81M|M|Original</v>
      </c>
      <c r="K25" s="2">
        <f>_xlfn.XLOOKUP(tblSorties[[#This Row],[Cleprix]], tblprix[ClePrix], tblprix[Prix achat HT])</f>
        <v>37.53</v>
      </c>
      <c r="L25" s="2">
        <f>tblSorties[[#This Row],[Quantité]]*tblSorties[[#This Row],[Prix_Unitaire]]</f>
        <v>75.06</v>
      </c>
    </row>
    <row r="26" spans="1:12" x14ac:dyDescent="0.25">
      <c r="A26" s="3">
        <v>46022</v>
      </c>
      <c r="B26" s="3" t="str">
        <f>TEXT(tblSorties[[#This Row],[Date]],"aaaa-mm")</f>
        <v>2025-12</v>
      </c>
      <c r="C26" s="3" t="s">
        <v>25</v>
      </c>
      <c r="D26" s="2" t="str">
        <f>IFERROR(_xlfn.XLOOKUP(TRIM(tblSorties[[#This Row],[Machine]]),tblmachines[ID_Machine],tblmachines[Modèle]),"")</f>
        <v>+4000i</v>
      </c>
      <c r="E26" s="2" t="str">
        <f>IFERROR(_xlfn.XLOOKUP(tblSorties[[#This Row],[Machine]], tblmachines[ID_Machine], tblmachines[Client]), "")</f>
        <v>APESUD</v>
      </c>
      <c r="F26" s="2" t="s">
        <v>409</v>
      </c>
      <c r="G26" s="2" t="s">
        <v>324</v>
      </c>
      <c r="H26" s="2" t="s">
        <v>4</v>
      </c>
      <c r="I26" s="2">
        <v>2</v>
      </c>
      <c r="J26" s="4" t="str">
        <f>tblSorties[[#This Row],[Modele]]&amp;"|"&amp;tblSorties[[#This Row],[Référence]]&amp;"|"&amp;tblSorties[[#This Row],[Couleur]]&amp;"|"&amp;tblSorties[[#This Row],[Type_Toner]]</f>
        <v>+4000i|TNP81Y|Y|Original</v>
      </c>
      <c r="K26" s="2">
        <f>_xlfn.XLOOKUP(tblSorties[[#This Row],[Cleprix]], tblprix[ClePrix], tblprix[Prix achat HT])</f>
        <v>37.53</v>
      </c>
      <c r="L26" s="2">
        <f>tblSorties[[#This Row],[Quantité]]*tblSorties[[#This Row],[Prix_Unitaire]]</f>
        <v>75.06</v>
      </c>
    </row>
    <row r="27" spans="1:12" x14ac:dyDescent="0.25">
      <c r="A27" s="3">
        <v>46022</v>
      </c>
      <c r="B27" s="3" t="str">
        <f>TEXT(tblSorties[[#This Row],[Date]],"aaaa-mm")</f>
        <v>2025-12</v>
      </c>
      <c r="C27" s="3" t="s">
        <v>26</v>
      </c>
      <c r="D27" s="2" t="str">
        <f>IFERROR(_xlfn.XLOOKUP(TRIM(tblSorties[[#This Row],[Machine]]),tblmachines[ID_Machine],tblmachines[Modèle]),"")</f>
        <v>+257</v>
      </c>
      <c r="E27" s="2" t="str">
        <f>IFERROR(_xlfn.XLOOKUP(tblSorties[[#This Row],[Machine]], tblmachines[ID_Machine], tblmachines[Client]), "")</f>
        <v>APIJE</v>
      </c>
      <c r="F27" s="2" t="s">
        <v>415</v>
      </c>
      <c r="G27" s="2" t="s">
        <v>320</v>
      </c>
      <c r="H27" s="2" t="s">
        <v>4</v>
      </c>
      <c r="I27" s="2">
        <v>1</v>
      </c>
      <c r="J27" s="4" t="str">
        <f>tblSorties[[#This Row],[Modele]]&amp;"|"&amp;tblSorties[[#This Row],[Référence]]&amp;"|"&amp;tblSorties[[#This Row],[Couleur]]&amp;"|"&amp;tblSorties[[#This Row],[Type_Toner]]</f>
        <v>+257|TN227K|K|Original</v>
      </c>
      <c r="K27" s="2">
        <f>_xlfn.XLOOKUP(tblSorties[[#This Row],[Cleprix]], tblprix[ClePrix], tblprix[Prix achat HT])</f>
        <v>43.3</v>
      </c>
      <c r="L27" s="2">
        <f>tblSorties[[#This Row],[Quantité]]*tblSorties[[#This Row],[Prix_Unitaire]]</f>
        <v>43.3</v>
      </c>
    </row>
    <row r="28" spans="1:12" x14ac:dyDescent="0.25">
      <c r="A28" s="3">
        <v>46022</v>
      </c>
      <c r="B28" s="3" t="str">
        <f>TEXT(tblSorties[[#This Row],[Date]],"aaaa-mm")</f>
        <v>2025-12</v>
      </c>
      <c r="C28" s="3" t="s">
        <v>250</v>
      </c>
      <c r="D28" s="2" t="str">
        <f>IFERROR(_xlfn.XLOOKUP(TRIM(tblSorties[[#This Row],[Machine]]),tblmachines[ID_Machine],tblmachines[Modèle]),"")</f>
        <v>+257</v>
      </c>
      <c r="E28" s="2" t="str">
        <f>IFERROR(_xlfn.XLOOKUP(tblSorties[[#This Row],[Machine]], tblmachines[ID_Machine], tblmachines[Client]), "")</f>
        <v>PROFIL FACADE SARL</v>
      </c>
      <c r="F28" s="2" t="s">
        <v>418</v>
      </c>
      <c r="G28" s="2" t="s">
        <v>324</v>
      </c>
      <c r="H28" s="2" t="s">
        <v>4</v>
      </c>
      <c r="I28">
        <v>1</v>
      </c>
      <c r="J28" s="4" t="str">
        <f>tblSorties[[#This Row],[Modele]]&amp;"|"&amp;tblSorties[[#This Row],[Référence]]&amp;"|"&amp;tblSorties[[#This Row],[Couleur]]&amp;"|"&amp;tblSorties[[#This Row],[Type_Toner]]</f>
        <v>+257|TN227Y|Y|Original</v>
      </c>
      <c r="K28" s="2">
        <f>_xlfn.XLOOKUP(tblSorties[[#This Row],[Cleprix]], tblprix[ClePrix], tblprix[Prix achat HT])</f>
        <v>88.13</v>
      </c>
      <c r="L28" s="2">
        <f>tblSorties[[#This Row],[Quantité]]*tblSorties[[#This Row],[Prix_Unitaire]]</f>
        <v>88.13</v>
      </c>
    </row>
    <row r="29" spans="1:12" x14ac:dyDescent="0.25">
      <c r="A29" s="3">
        <v>46022</v>
      </c>
      <c r="B29" s="3" t="str">
        <f>TEXT(tblSorties[[#This Row],[Date]],"aaaa-mm")</f>
        <v>2025-12</v>
      </c>
      <c r="C29" s="3" t="s">
        <v>281</v>
      </c>
      <c r="D29" s="2" t="str">
        <f>IFERROR(_xlfn.XLOOKUP(TRIM(tblSorties[[#This Row],[Machine]]),tblmachines[ID_Machine],tblmachines[Modèle]),"")</f>
        <v>+257</v>
      </c>
      <c r="E29" s="2" t="str">
        <f>IFERROR(_xlfn.XLOOKUP(tblSorties[[#This Row],[Machine]], tblmachines[ID_Machine], tblmachines[Client]), "")</f>
        <v>SIGMA HABITAT</v>
      </c>
      <c r="F29" s="2" t="s">
        <v>415</v>
      </c>
      <c r="G29" s="2" t="s">
        <v>320</v>
      </c>
      <c r="H29" s="2" t="s">
        <v>4</v>
      </c>
      <c r="I29">
        <v>1</v>
      </c>
      <c r="J29" s="4" t="str">
        <f>tblSorties[[#This Row],[Modele]]&amp;"|"&amp;tblSorties[[#This Row],[Référence]]&amp;"|"&amp;tblSorties[[#This Row],[Couleur]]&amp;"|"&amp;tblSorties[[#This Row],[Type_Toner]]</f>
        <v>+257|TN227K|K|Original</v>
      </c>
      <c r="K29" s="2">
        <f>_xlfn.XLOOKUP(tblSorties[[#This Row],[Cleprix]], tblprix[ClePrix], tblprix[Prix achat HT])</f>
        <v>43.3</v>
      </c>
      <c r="L29" s="2">
        <f>tblSorties[[#This Row],[Quantité]]*tblSorties[[#This Row],[Prix_Unitaire]]</f>
        <v>43.3</v>
      </c>
    </row>
    <row r="30" spans="1:12" x14ac:dyDescent="0.25">
      <c r="A30" s="3">
        <v>46022</v>
      </c>
      <c r="B30" s="3" t="str">
        <f>TEXT(tblSorties[[#This Row],[Date]],"aaaa-mm")</f>
        <v>2025-12</v>
      </c>
      <c r="C30" s="3" t="s">
        <v>281</v>
      </c>
      <c r="D30" s="2" t="str">
        <f>IFERROR(_xlfn.XLOOKUP(TRIM(tblSorties[[#This Row],[Machine]]),tblmachines[ID_Machine],tblmachines[Modèle]),"")</f>
        <v>+257</v>
      </c>
      <c r="E30" s="2" t="str">
        <f>IFERROR(_xlfn.XLOOKUP(tblSorties[[#This Row],[Machine]], tblmachines[ID_Machine], tblmachines[Client]), "")</f>
        <v>SIGMA HABITAT</v>
      </c>
      <c r="F30" s="2" t="s">
        <v>416</v>
      </c>
      <c r="G30" s="2" t="s">
        <v>322</v>
      </c>
      <c r="H30" s="2" t="s">
        <v>4</v>
      </c>
      <c r="I30">
        <v>1</v>
      </c>
      <c r="J30" s="4" t="str">
        <f>tblSorties[[#This Row],[Modele]]&amp;"|"&amp;tblSorties[[#This Row],[Référence]]&amp;"|"&amp;tblSorties[[#This Row],[Couleur]]&amp;"|"&amp;tblSorties[[#This Row],[Type_Toner]]</f>
        <v>+257|TN227C|C|Original</v>
      </c>
      <c r="K30" s="2">
        <f>_xlfn.XLOOKUP(tblSorties[[#This Row],[Cleprix]], tblprix[ClePrix], tblprix[Prix achat HT])</f>
        <v>88.13</v>
      </c>
      <c r="L30" s="2">
        <f>tblSorties[[#This Row],[Quantité]]*tblSorties[[#This Row],[Prix_Unitaire]]</f>
        <v>88.13</v>
      </c>
    </row>
    <row r="31" spans="1:12" x14ac:dyDescent="0.25">
      <c r="A31" s="3">
        <v>46022</v>
      </c>
      <c r="B31" s="3" t="str">
        <f>TEXT(tblSorties[[#This Row],[Date]],"aaaa-mm")</f>
        <v>2025-12</v>
      </c>
      <c r="C31" s="3" t="s">
        <v>281</v>
      </c>
      <c r="D31" s="2" t="str">
        <f>IFERROR(_xlfn.XLOOKUP(TRIM(tblSorties[[#This Row],[Machine]]),tblmachines[ID_Machine],tblmachines[Modèle]),"")</f>
        <v>+257</v>
      </c>
      <c r="E31" s="2" t="str">
        <f>IFERROR(_xlfn.XLOOKUP(tblSorties[[#This Row],[Machine]], tblmachines[ID_Machine], tblmachines[Client]), "")</f>
        <v>SIGMA HABITAT</v>
      </c>
      <c r="F31" s="2" t="s">
        <v>417</v>
      </c>
      <c r="G31" s="2" t="s">
        <v>323</v>
      </c>
      <c r="H31" s="2" t="s">
        <v>4</v>
      </c>
      <c r="I31">
        <v>1</v>
      </c>
      <c r="J31" s="4" t="str">
        <f>tblSorties[[#This Row],[Modele]]&amp;"|"&amp;tblSorties[[#This Row],[Référence]]&amp;"|"&amp;tblSorties[[#This Row],[Couleur]]&amp;"|"&amp;tblSorties[[#This Row],[Type_Toner]]</f>
        <v>+257|TN227M|M|Original</v>
      </c>
      <c r="K31" s="2">
        <f>_xlfn.XLOOKUP(tblSorties[[#This Row],[Cleprix]], tblprix[ClePrix], tblprix[Prix achat HT])</f>
        <v>88.13</v>
      </c>
      <c r="L31" s="2">
        <f>tblSorties[[#This Row],[Quantité]]*tblSorties[[#This Row],[Prix_Unitaire]]</f>
        <v>88.13</v>
      </c>
    </row>
    <row r="32" spans="1:12" x14ac:dyDescent="0.25">
      <c r="A32" s="3">
        <v>46022</v>
      </c>
      <c r="B32" s="3" t="str">
        <f>TEXT(tblSorties[[#This Row],[Date]],"aaaa-mm")</f>
        <v>2025-12</v>
      </c>
      <c r="C32" s="3" t="s">
        <v>281</v>
      </c>
      <c r="D32" s="2" t="str">
        <f>IFERROR(_xlfn.XLOOKUP(TRIM(tblSorties[[#This Row],[Machine]]),tblmachines[ID_Machine],tblmachines[Modèle]),"")</f>
        <v>+257</v>
      </c>
      <c r="E32" s="2" t="str">
        <f>IFERROR(_xlfn.XLOOKUP(tblSorties[[#This Row],[Machine]], tblmachines[ID_Machine], tblmachines[Client]), "")</f>
        <v>SIGMA HABITAT</v>
      </c>
      <c r="F32" s="2" t="s">
        <v>418</v>
      </c>
      <c r="G32" s="2" t="s">
        <v>324</v>
      </c>
      <c r="H32" s="2" t="s">
        <v>4</v>
      </c>
      <c r="I32">
        <v>1</v>
      </c>
      <c r="J32" s="4" t="str">
        <f>tblSorties[[#This Row],[Modele]]&amp;"|"&amp;tblSorties[[#This Row],[Référence]]&amp;"|"&amp;tblSorties[[#This Row],[Couleur]]&amp;"|"&amp;tblSorties[[#This Row],[Type_Toner]]</f>
        <v>+257|TN227Y|Y|Original</v>
      </c>
      <c r="K32" s="2">
        <f>_xlfn.XLOOKUP(tblSorties[[#This Row],[Cleprix]], tblprix[ClePrix], tblprix[Prix achat HT])</f>
        <v>88.13</v>
      </c>
      <c r="L32" s="2">
        <f>tblSorties[[#This Row],[Quantité]]*tblSorties[[#This Row],[Prix_Unitaire]]</f>
        <v>88.13</v>
      </c>
    </row>
    <row r="33" spans="1:12" x14ac:dyDescent="0.25">
      <c r="A33" s="3">
        <v>46022</v>
      </c>
      <c r="B33" s="3" t="str">
        <f>TEXT(tblSorties[[#This Row],[Date]],"aaaa-mm")</f>
        <v>2025-12</v>
      </c>
      <c r="C33" s="3" t="s">
        <v>314</v>
      </c>
      <c r="D33" s="2" t="str">
        <f>IFERROR(_xlfn.XLOOKUP(TRIM(tblSorties[[#This Row],[Machine]]),tblmachines[ID_Machine],tblmachines[Modèle]),"")</f>
        <v>+257</v>
      </c>
      <c r="E33" s="2" t="str">
        <f>IFERROR(_xlfn.XLOOKUP(tblSorties[[#This Row],[Machine]], tblmachines[ID_Machine], tblmachines[Client]), "")</f>
        <v>YCMC</v>
      </c>
      <c r="F33" s="2" t="s">
        <v>415</v>
      </c>
      <c r="G33" s="2" t="s">
        <v>320</v>
      </c>
      <c r="H33" s="2" t="s">
        <v>4</v>
      </c>
      <c r="I33">
        <v>1</v>
      </c>
      <c r="J33" s="4" t="str">
        <f>tblSorties[[#This Row],[Modele]]&amp;"|"&amp;tblSorties[[#This Row],[Référence]]&amp;"|"&amp;tblSorties[[#This Row],[Couleur]]&amp;"|"&amp;tblSorties[[#This Row],[Type_Toner]]</f>
        <v>+257|TN227K|K|Original</v>
      </c>
      <c r="K33" s="2">
        <f>_xlfn.XLOOKUP(tblSorties[[#This Row],[Cleprix]], tblprix[ClePrix], tblprix[Prix achat HT])</f>
        <v>43.3</v>
      </c>
      <c r="L33" s="2">
        <f>tblSorties[[#This Row],[Quantité]]*tblSorties[[#This Row],[Prix_Unitaire]]</f>
        <v>43.3</v>
      </c>
    </row>
    <row r="34" spans="1:12" x14ac:dyDescent="0.25">
      <c r="A34" s="3">
        <v>46022</v>
      </c>
      <c r="B34" s="3" t="str">
        <f>TEXT(tblSorties[[#This Row],[Date]],"aaaa-mm")</f>
        <v>2025-12</v>
      </c>
      <c r="C34" s="3" t="s">
        <v>50</v>
      </c>
      <c r="D34" s="2" t="str">
        <f>IFERROR(_xlfn.XLOOKUP(TRIM(tblSorties[[#This Row],[Machine]]),tblmachines[ID_Machine],tblmachines[Modèle]),"")</f>
        <v>+250/1 300/1 360/1</v>
      </c>
      <c r="E34" s="2" t="str">
        <f>IFERROR(_xlfn.XLOOKUP(tblSorties[[#This Row],[Machine]], tblmachines[ID_Machine], tblmachines[Client]), "")</f>
        <v>AUDIT FINANCE EXPERT</v>
      </c>
      <c r="F34" s="2" t="s">
        <v>395</v>
      </c>
      <c r="G34" s="2" t="s">
        <v>320</v>
      </c>
      <c r="H34" s="2" t="s">
        <v>4</v>
      </c>
      <c r="I34">
        <v>1</v>
      </c>
      <c r="J34" s="4" t="str">
        <f>tblSorties[[#This Row],[Modele]]&amp;"|"&amp;tblSorties[[#This Row],[Référence]]&amp;"|"&amp;tblSorties[[#This Row],[Couleur]]&amp;"|"&amp;tblSorties[[#This Row],[Type_Toner]]</f>
        <v>+250/1 300/1 360/1|TN328K|K|Original</v>
      </c>
      <c r="K34" s="2">
        <f>_xlfn.XLOOKUP(tblSorties[[#This Row],[Cleprix]], tblprix[ClePrix], tblprix[Prix achat HT])</f>
        <v>38.409999999999997</v>
      </c>
      <c r="L34" s="2">
        <f>tblSorties[[#This Row],[Quantité]]*tblSorties[[#This Row],[Prix_Unitaire]]</f>
        <v>38.409999999999997</v>
      </c>
    </row>
    <row r="35" spans="1:12" x14ac:dyDescent="0.25">
      <c r="A35" s="3">
        <v>46022</v>
      </c>
      <c r="B35" s="3" t="str">
        <f>TEXT(tblSorties[[#This Row],[Date]],"aaaa-mm")</f>
        <v>2025-12</v>
      </c>
      <c r="C35" s="3" t="s">
        <v>87</v>
      </c>
      <c r="D35" s="2" t="str">
        <f>IFERROR(_xlfn.XLOOKUP(TRIM(tblSorties[[#This Row],[Machine]]),tblmachines[ID_Machine],tblmachines[Modèle]),"")</f>
        <v>+250/1 300/1 360/1</v>
      </c>
      <c r="E35" s="2" t="str">
        <f>IFERROR(_xlfn.XLOOKUP(tblSorties[[#This Row],[Machine]], tblmachines[ID_Machine], tblmachines[Client]), "")</f>
        <v>COMMUNE DE VENDARGUES</v>
      </c>
      <c r="F35" s="2" t="s">
        <v>497</v>
      </c>
      <c r="G35" s="2" t="s">
        <v>322</v>
      </c>
      <c r="H35" s="2" t="s">
        <v>4</v>
      </c>
      <c r="I35">
        <v>1</v>
      </c>
      <c r="J35" s="4" t="str">
        <f>tblSorties[[#This Row],[Modele]]&amp;"|"&amp;tblSorties[[#This Row],[Référence]]&amp;"|"&amp;tblSorties[[#This Row],[Couleur]]&amp;"|"&amp;tblSorties[[#This Row],[Type_Toner]]</f>
        <v>+250/1 300/1 360/1|TN328C|C|Original</v>
      </c>
      <c r="K35" s="2">
        <f>_xlfn.XLOOKUP(tblSorties[[#This Row],[Cleprix]], tblprix[ClePrix], tblprix[Prix achat HT])</f>
        <v>99.33</v>
      </c>
      <c r="L35" s="2">
        <f>tblSorties[[#This Row],[Quantité]]*tblSorties[[#This Row],[Prix_Unitaire]]</f>
        <v>99.33</v>
      </c>
    </row>
    <row r="36" spans="1:12" x14ac:dyDescent="0.25">
      <c r="A36" s="3">
        <v>46022</v>
      </c>
      <c r="B36" s="3" t="str">
        <f>TEXT(tblSorties[[#This Row],[Date]],"aaaa-mm")</f>
        <v>2025-12</v>
      </c>
      <c r="C36" s="3" t="s">
        <v>87</v>
      </c>
      <c r="D36" s="2" t="str">
        <f>IFERROR(_xlfn.XLOOKUP(TRIM(tblSorties[[#This Row],[Machine]]),tblmachines[ID_Machine],tblmachines[Modèle]),"")</f>
        <v>+250/1 300/1 360/1</v>
      </c>
      <c r="E36" s="2" t="str">
        <f>IFERROR(_xlfn.XLOOKUP(tblSorties[[#This Row],[Machine]], tblmachines[ID_Machine], tblmachines[Client]), "")</f>
        <v>COMMUNE DE VENDARGUES</v>
      </c>
      <c r="F36" s="2" t="s">
        <v>396</v>
      </c>
      <c r="G36" s="2" t="s">
        <v>323</v>
      </c>
      <c r="H36" s="2" t="s">
        <v>4</v>
      </c>
      <c r="I36">
        <v>1</v>
      </c>
      <c r="J36" s="4" t="str">
        <f>tblSorties[[#This Row],[Modele]]&amp;"|"&amp;tblSorties[[#This Row],[Référence]]&amp;"|"&amp;tblSorties[[#This Row],[Couleur]]&amp;"|"&amp;tblSorties[[#This Row],[Type_Toner]]</f>
        <v>+250/1 300/1 360/1|TN328M|M|Original</v>
      </c>
      <c r="K36" s="2">
        <f>_xlfn.XLOOKUP(tblSorties[[#This Row],[Cleprix]], tblprix[ClePrix], tblprix[Prix achat HT])</f>
        <v>99.33</v>
      </c>
      <c r="L36" s="2">
        <f>tblSorties[[#This Row],[Quantité]]*tblSorties[[#This Row],[Prix_Unitaire]]</f>
        <v>99.33</v>
      </c>
    </row>
    <row r="37" spans="1:12" x14ac:dyDescent="0.25">
      <c r="A37" s="3">
        <v>46022</v>
      </c>
      <c r="B37" s="3" t="str">
        <f>TEXT(tblSorties[[#This Row],[Date]],"aaaa-mm")</f>
        <v>2025-12</v>
      </c>
      <c r="C37" s="3" t="s">
        <v>87</v>
      </c>
      <c r="D37" s="2" t="str">
        <f>IFERROR(_xlfn.XLOOKUP(TRIM(tblSorties[[#This Row],[Machine]]),tblmachines[ID_Machine],tblmachines[Modèle]),"")</f>
        <v>+250/1 300/1 360/1</v>
      </c>
      <c r="E37" s="2" t="str">
        <f>IFERROR(_xlfn.XLOOKUP(tblSorties[[#This Row],[Machine]], tblmachines[ID_Machine], tblmachines[Client]), "")</f>
        <v>COMMUNE DE VENDARGUES</v>
      </c>
      <c r="F37" s="2" t="s">
        <v>397</v>
      </c>
      <c r="G37" s="2" t="s">
        <v>324</v>
      </c>
      <c r="H37" s="2" t="s">
        <v>4</v>
      </c>
      <c r="I37">
        <v>1</v>
      </c>
      <c r="J37" s="4" t="str">
        <f>tblSorties[[#This Row],[Modele]]&amp;"|"&amp;tblSorties[[#This Row],[Référence]]&amp;"|"&amp;tblSorties[[#This Row],[Couleur]]&amp;"|"&amp;tblSorties[[#This Row],[Type_Toner]]</f>
        <v>+250/1 300/1 360/1|TN328Y|Y|Original</v>
      </c>
      <c r="K37" s="2">
        <f>_xlfn.XLOOKUP(tblSorties[[#This Row],[Cleprix]], tblprix[ClePrix], tblprix[Prix achat HT])</f>
        <v>99.33</v>
      </c>
      <c r="L37" s="2">
        <f>tblSorties[[#This Row],[Quantité]]*tblSorties[[#This Row],[Prix_Unitaire]]</f>
        <v>99.33</v>
      </c>
    </row>
    <row r="38" spans="1:12" x14ac:dyDescent="0.25">
      <c r="A38" s="3">
        <v>46022</v>
      </c>
      <c r="B38" s="3" t="str">
        <f>TEXT(tblSorties[[#This Row],[Date]],"aaaa-mm")</f>
        <v>2025-12</v>
      </c>
      <c r="C38" s="3" t="s">
        <v>288</v>
      </c>
      <c r="D38" s="2" t="str">
        <f>IFERROR(_xlfn.XLOOKUP(TRIM(tblSorties[[#This Row],[Machine]]),tblmachines[ID_Machine],tblmachines[Modèle]),"")</f>
        <v>+250/1 300/1 360/1</v>
      </c>
      <c r="E38" s="2" t="str">
        <f>IFERROR(_xlfn.XLOOKUP(tblSorties[[#This Row],[Machine]], tblmachines[ID_Machine], tblmachines[Client]), "")</f>
        <v>SGI</v>
      </c>
      <c r="F38" s="2" t="s">
        <v>395</v>
      </c>
      <c r="G38" s="2" t="s">
        <v>320</v>
      </c>
      <c r="H38" s="2" t="s">
        <v>4</v>
      </c>
      <c r="I38">
        <v>1</v>
      </c>
      <c r="J38" s="4" t="str">
        <f>tblSorties[[#This Row],[Modele]]&amp;"|"&amp;tblSorties[[#This Row],[Référence]]&amp;"|"&amp;tblSorties[[#This Row],[Couleur]]&amp;"|"&amp;tblSorties[[#This Row],[Type_Toner]]</f>
        <v>+250/1 300/1 360/1|TN328K|K|Original</v>
      </c>
      <c r="K38" s="2">
        <f>_xlfn.XLOOKUP(tblSorties[[#This Row],[Cleprix]], tblprix[ClePrix], tblprix[Prix achat HT])</f>
        <v>38.409999999999997</v>
      </c>
      <c r="L38" s="2">
        <f>tblSorties[[#This Row],[Quantité]]*tblSorties[[#This Row],[Prix_Unitaire]]</f>
        <v>38.409999999999997</v>
      </c>
    </row>
    <row r="39" spans="1:12" x14ac:dyDescent="0.25">
      <c r="A39" s="3">
        <v>46022</v>
      </c>
      <c r="B39" s="3" t="str">
        <f>TEXT(tblSorties[[#This Row],[Date]],"aaaa-mm")</f>
        <v>2025-12</v>
      </c>
      <c r="C39" s="3" t="s">
        <v>53</v>
      </c>
      <c r="D39" s="2" t="str">
        <f>IFERROR(_xlfn.XLOOKUP(TRIM(tblSorties[[#This Row],[Machine]]),tblmachines[ID_Machine],tblmachines[Modèle]),"")</f>
        <v xml:space="preserve">+3351i </v>
      </c>
      <c r="E39" s="2" t="str">
        <f>IFERROR(_xlfn.XLOOKUP(tblSorties[[#This Row],[Machine]], tblmachines[ID_Machine], tblmachines[Client]), "")</f>
        <v>AUDIT FINANCE EXPERT</v>
      </c>
      <c r="F39" s="2" t="s">
        <v>403</v>
      </c>
      <c r="G39" s="2" t="s">
        <v>323</v>
      </c>
      <c r="H39" s="2" t="s">
        <v>4</v>
      </c>
      <c r="I39">
        <v>1</v>
      </c>
      <c r="J39" s="4" t="str">
        <f>tblSorties[[#This Row],[Modele]]&amp;"|"&amp;tblSorties[[#This Row],[Référence]]&amp;"|"&amp;tblSorties[[#This Row],[Couleur]]&amp;"|"&amp;tblSorties[[#This Row],[Type_Toner]]</f>
        <v>+3351i |TNP79M|M|Original</v>
      </c>
      <c r="K39" s="2">
        <f>_xlfn.XLOOKUP(tblSorties[[#This Row],[Cleprix]], tblprix[ClePrix], tblprix[Prix achat HT])</f>
        <v>33.99</v>
      </c>
      <c r="L39" s="2">
        <f>tblSorties[[#This Row],[Quantité]]*tblSorties[[#This Row],[Prix_Unitaire]]</f>
        <v>33.99</v>
      </c>
    </row>
    <row r="40" spans="1:12" x14ac:dyDescent="0.25">
      <c r="A40" s="3">
        <v>46022</v>
      </c>
      <c r="B40" s="3" t="str">
        <f>TEXT(tblSorties[[#This Row],[Date]],"aaaa-mm")</f>
        <v>2025-12</v>
      </c>
      <c r="C40" s="3" t="s">
        <v>54</v>
      </c>
      <c r="D40" s="2" t="str">
        <f>IFERROR(_xlfn.XLOOKUP(TRIM(tblSorties[[#This Row],[Machine]]),tblmachines[ID_Machine],tblmachines[Modèle]),"")</f>
        <v xml:space="preserve">+3351i </v>
      </c>
      <c r="E40" s="2" t="str">
        <f>IFERROR(_xlfn.XLOOKUP(tblSorties[[#This Row],[Machine]], tblmachines[ID_Machine], tblmachines[Client]), "")</f>
        <v>AUDIT FINANCE EXPERT</v>
      </c>
      <c r="F40" s="2" t="s">
        <v>403</v>
      </c>
      <c r="G40" s="2" t="s">
        <v>323</v>
      </c>
      <c r="H40" s="2" t="s">
        <v>4</v>
      </c>
      <c r="I40">
        <v>1</v>
      </c>
      <c r="J40" s="4" t="str">
        <f>tblSorties[[#This Row],[Modele]]&amp;"|"&amp;tblSorties[[#This Row],[Référence]]&amp;"|"&amp;tblSorties[[#This Row],[Couleur]]&amp;"|"&amp;tblSorties[[#This Row],[Type_Toner]]</f>
        <v>+3351i |TNP79M|M|Original</v>
      </c>
      <c r="K40" s="2">
        <f>_xlfn.XLOOKUP(tblSorties[[#This Row],[Cleprix]], tblprix[ClePrix], tblprix[Prix achat HT])</f>
        <v>33.99</v>
      </c>
      <c r="L40" s="2">
        <f>tblSorties[[#This Row],[Quantité]]*tblSorties[[#This Row],[Prix_Unitaire]]</f>
        <v>33.99</v>
      </c>
    </row>
    <row r="41" spans="1:12" x14ac:dyDescent="0.25">
      <c r="A41" s="3">
        <v>46022</v>
      </c>
      <c r="B41" s="3" t="str">
        <f>TEXT(tblSorties[[#This Row],[Date]],"aaaa-mm")</f>
        <v>2025-12</v>
      </c>
      <c r="C41" s="3" t="s">
        <v>55</v>
      </c>
      <c r="D41" s="2" t="str">
        <f>IFERROR(_xlfn.XLOOKUP(TRIM(tblSorties[[#This Row],[Machine]]),tblmachines[ID_Machine],tblmachines[Modèle]),"")</f>
        <v>MF459</v>
      </c>
      <c r="E41" s="2" t="str">
        <f>IFERROR(_xlfn.XLOOKUP(tblSorties[[#This Row],[Machine]], tblmachines[ID_Machine], tblmachines[Client]), "")</f>
        <v>AUGE SARL</v>
      </c>
      <c r="F41" s="2" t="s">
        <v>338</v>
      </c>
      <c r="G41" s="2" t="s">
        <v>320</v>
      </c>
      <c r="H41" s="2" t="s">
        <v>4</v>
      </c>
      <c r="I41">
        <v>1</v>
      </c>
      <c r="J41" s="4" t="str">
        <f>tblSorties[[#This Row],[Modele]]&amp;"|"&amp;tblSorties[[#This Row],[Référence]]&amp;"|"&amp;tblSorties[[#This Row],[Couleur]]&amp;"|"&amp;tblSorties[[#This Row],[Type_Toner]]</f>
        <v>MF459|B1377|K|Original</v>
      </c>
      <c r="K41" s="2">
        <f>_xlfn.XLOOKUP(tblSorties[[#This Row],[Cleprix]], tblprix[ClePrix], tblprix[Prix achat HT])</f>
        <v>40</v>
      </c>
      <c r="L41" s="2">
        <f>tblSorties[[#This Row],[Quantité]]*tblSorties[[#This Row],[Prix_Unitaire]]</f>
        <v>40</v>
      </c>
    </row>
    <row r="42" spans="1:12" x14ac:dyDescent="0.25">
      <c r="A42" s="3">
        <v>46022</v>
      </c>
      <c r="B42" s="3" t="str">
        <f>TEXT(tblSorties[[#This Row],[Date]],"aaaa-mm")</f>
        <v>2025-12</v>
      </c>
      <c r="C42" s="3" t="s">
        <v>62</v>
      </c>
      <c r="D42" s="2" t="str">
        <f>IFERROR(_xlfn.XLOOKUP(TRIM(tblSorties[[#This Row],[Machine]]),tblmachines[ID_Machine],tblmachines[Modèle]),"")</f>
        <v>M5526C/D</v>
      </c>
      <c r="E42" s="2" t="str">
        <f>IFERROR(_xlfn.XLOOKUP(tblSorties[[#This Row],[Machine]], tblmachines[ID_Machine], tblmachines[Client]), "")</f>
        <v>AUTO-PEINT DIRIGO</v>
      </c>
      <c r="F42" s="2" t="s">
        <v>384</v>
      </c>
      <c r="G42" s="2" t="s">
        <v>324</v>
      </c>
      <c r="H42" s="2" t="s">
        <v>5</v>
      </c>
      <c r="I42">
        <v>1</v>
      </c>
      <c r="J42" s="4" t="str">
        <f>tblSorties[[#This Row],[Modele]]&amp;"|"&amp;tblSorties[[#This Row],[Référence]]&amp;"|"&amp;tblSorties[[#This Row],[Couleur]]&amp;"|"&amp;tblSorties[[#This Row],[Type_Toner]]</f>
        <v>M5526C/D|TK5240Y|Y|Compatible</v>
      </c>
      <c r="K42" s="2">
        <f>_xlfn.XLOOKUP(tblSorties[[#This Row],[Cleprix]], tblprix[ClePrix], tblprix[Prix achat HT])</f>
        <v>30.3</v>
      </c>
      <c r="L42" s="2">
        <f>tblSorties[[#This Row],[Quantité]]*tblSorties[[#This Row],[Prix_Unitaire]]</f>
        <v>30.3</v>
      </c>
    </row>
    <row r="43" spans="1:12" x14ac:dyDescent="0.25">
      <c r="A43" s="3">
        <v>46022</v>
      </c>
      <c r="B43" s="3" t="str">
        <f>TEXT(tblSorties[[#This Row],[Date]],"aaaa-mm")</f>
        <v>2025-12</v>
      </c>
      <c r="C43" s="3" t="s">
        <v>78</v>
      </c>
      <c r="D43" s="2" t="str">
        <f>IFERROR(_xlfn.XLOOKUP(TRIM(tblSorties[[#This Row],[Machine]]),tblmachines[ID_Machine],tblmachines[Modèle]),"")</f>
        <v>M5526C/D</v>
      </c>
      <c r="E43" s="2" t="str">
        <f>IFERROR(_xlfn.XLOOKUP(tblSorties[[#This Row],[Machine]], tblmachines[ID_Machine], tblmachines[Client]), "")</f>
        <v>CEM (CENTRE D'ENTRAINEMENT MÉDITÉRANNÉÉ)</v>
      </c>
      <c r="F43" s="2" t="s">
        <v>381</v>
      </c>
      <c r="G43" s="2" t="s">
        <v>320</v>
      </c>
      <c r="H43" s="2" t="s">
        <v>5</v>
      </c>
      <c r="I43">
        <v>1</v>
      </c>
      <c r="J43" s="4" t="str">
        <f>tblSorties[[#This Row],[Modele]]&amp;"|"&amp;tblSorties[[#This Row],[Référence]]&amp;"|"&amp;tblSorties[[#This Row],[Couleur]]&amp;"|"&amp;tblSorties[[#This Row],[Type_Toner]]</f>
        <v>M5526C/D|TK5240K|K|Compatible</v>
      </c>
      <c r="K43" s="2">
        <f>_xlfn.XLOOKUP(tblSorties[[#This Row],[Cleprix]], tblprix[ClePrix], tblprix[Prix achat HT])</f>
        <v>23.3</v>
      </c>
      <c r="L43" s="2">
        <f>tblSorties[[#This Row],[Quantité]]*tblSorties[[#This Row],[Prix_Unitaire]]</f>
        <v>23.3</v>
      </c>
    </row>
    <row r="44" spans="1:12" x14ac:dyDescent="0.25">
      <c r="A44" s="3">
        <v>46022</v>
      </c>
      <c r="B44" s="3" t="str">
        <f>TEXT(tblSorties[[#This Row],[Date]],"aaaa-mm")</f>
        <v>2025-12</v>
      </c>
      <c r="C44" s="3" t="s">
        <v>78</v>
      </c>
      <c r="D44" s="2" t="str">
        <f>IFERROR(_xlfn.XLOOKUP(TRIM(tblSorties[[#This Row],[Machine]]),tblmachines[ID_Machine],tblmachines[Modèle]),"")</f>
        <v>M5526C/D</v>
      </c>
      <c r="E44" s="2" t="str">
        <f>IFERROR(_xlfn.XLOOKUP(tblSorties[[#This Row],[Machine]], tblmachines[ID_Machine], tblmachines[Client]), "")</f>
        <v>CEM (CENTRE D'ENTRAINEMENT MÉDITÉRANNÉÉ)</v>
      </c>
      <c r="F44" s="2" t="s">
        <v>382</v>
      </c>
      <c r="G44" s="2" t="s">
        <v>322</v>
      </c>
      <c r="H44" s="2" t="s">
        <v>5</v>
      </c>
      <c r="I44">
        <v>1</v>
      </c>
      <c r="J44" s="4" t="str">
        <f>tblSorties[[#This Row],[Modele]]&amp;"|"&amp;tblSorties[[#This Row],[Référence]]&amp;"|"&amp;tblSorties[[#This Row],[Couleur]]&amp;"|"&amp;tblSorties[[#This Row],[Type_Toner]]</f>
        <v>M5526C/D|TK5240C|C|Compatible</v>
      </c>
      <c r="K44" s="2">
        <f>_xlfn.XLOOKUP(tblSorties[[#This Row],[Cleprix]], tblprix[ClePrix], tblprix[Prix achat HT])</f>
        <v>30.3</v>
      </c>
      <c r="L44" s="2">
        <f>tblSorties[[#This Row],[Quantité]]*tblSorties[[#This Row],[Prix_Unitaire]]</f>
        <v>30.3</v>
      </c>
    </row>
    <row r="45" spans="1:12" x14ac:dyDescent="0.25">
      <c r="A45" s="3">
        <v>46022</v>
      </c>
      <c r="B45" s="3" t="str">
        <f>TEXT(tblSorties[[#This Row],[Date]],"aaaa-mm")</f>
        <v>2025-12</v>
      </c>
      <c r="C45" s="3" t="s">
        <v>78</v>
      </c>
      <c r="D45" s="2" t="str">
        <f>IFERROR(_xlfn.XLOOKUP(TRIM(tblSorties[[#This Row],[Machine]]),tblmachines[ID_Machine],tblmachines[Modèle]),"")</f>
        <v>M5526C/D</v>
      </c>
      <c r="E45" s="2" t="str">
        <f>IFERROR(_xlfn.XLOOKUP(tblSorties[[#This Row],[Machine]], tblmachines[ID_Machine], tblmachines[Client]), "")</f>
        <v>CEM (CENTRE D'ENTRAINEMENT MÉDITÉRANNÉÉ)</v>
      </c>
      <c r="F45" s="2" t="s">
        <v>383</v>
      </c>
      <c r="G45" s="2" t="s">
        <v>323</v>
      </c>
      <c r="H45" s="2" t="s">
        <v>5</v>
      </c>
      <c r="I45">
        <v>1</v>
      </c>
      <c r="J45" s="4" t="str">
        <f>tblSorties[[#This Row],[Modele]]&amp;"|"&amp;tblSorties[[#This Row],[Référence]]&amp;"|"&amp;tblSorties[[#This Row],[Couleur]]&amp;"|"&amp;tblSorties[[#This Row],[Type_Toner]]</f>
        <v>M5526C/D|TK5240M|M|Compatible</v>
      </c>
      <c r="K45" s="2">
        <f>_xlfn.XLOOKUP(tblSorties[[#This Row],[Cleprix]], tblprix[ClePrix], tblprix[Prix achat HT])</f>
        <v>30.3</v>
      </c>
      <c r="L45" s="2">
        <f>tblSorties[[#This Row],[Quantité]]*tblSorties[[#This Row],[Prix_Unitaire]]</f>
        <v>30.3</v>
      </c>
    </row>
    <row r="46" spans="1:12" x14ac:dyDescent="0.25">
      <c r="A46" s="3">
        <v>46022</v>
      </c>
      <c r="B46" s="3" t="str">
        <f>TEXT(tblSorties[[#This Row],[Date]],"aaaa-mm")</f>
        <v>2025-12</v>
      </c>
      <c r="C46" s="3" t="s">
        <v>78</v>
      </c>
      <c r="D46" s="2" t="str">
        <f>IFERROR(_xlfn.XLOOKUP(TRIM(tblSorties[[#This Row],[Machine]]),tblmachines[ID_Machine],tblmachines[Modèle]),"")</f>
        <v>M5526C/D</v>
      </c>
      <c r="E46" s="2" t="str">
        <f>IFERROR(_xlfn.XLOOKUP(tblSorties[[#This Row],[Machine]], tblmachines[ID_Machine], tblmachines[Client]), "")</f>
        <v>CEM (CENTRE D'ENTRAINEMENT MÉDITÉRANNÉÉ)</v>
      </c>
      <c r="F46" s="2" t="s">
        <v>384</v>
      </c>
      <c r="G46" s="2" t="s">
        <v>324</v>
      </c>
      <c r="H46" s="2" t="s">
        <v>5</v>
      </c>
      <c r="I46">
        <v>1</v>
      </c>
      <c r="J46" s="4" t="str">
        <f>tblSorties[[#This Row],[Modele]]&amp;"|"&amp;tblSorties[[#This Row],[Référence]]&amp;"|"&amp;tblSorties[[#This Row],[Couleur]]&amp;"|"&amp;tblSorties[[#This Row],[Type_Toner]]</f>
        <v>M5526C/D|TK5240Y|Y|Compatible</v>
      </c>
      <c r="K46" s="2">
        <f>_xlfn.XLOOKUP(tblSorties[[#This Row],[Cleprix]], tblprix[ClePrix], tblprix[Prix achat HT])</f>
        <v>30.3</v>
      </c>
      <c r="L46" s="2">
        <f>tblSorties[[#This Row],[Quantité]]*tblSorties[[#This Row],[Prix_Unitaire]]</f>
        <v>30.3</v>
      </c>
    </row>
    <row r="47" spans="1:12" x14ac:dyDescent="0.25">
      <c r="A47" s="3">
        <v>46022</v>
      </c>
      <c r="B47" s="3" t="str">
        <f>TEXT(tblSorties[[#This Row],[Date]],"aaaa-mm")</f>
        <v>2025-12</v>
      </c>
      <c r="C47" s="3" t="s">
        <v>86</v>
      </c>
      <c r="D47" s="2" t="str">
        <f>IFERROR(_xlfn.XLOOKUP(TRIM(tblSorties[[#This Row],[Machine]]),tblmachines[ID_Machine],tblmachines[Modèle]),"")</f>
        <v>M5526C/D</v>
      </c>
      <c r="E47" s="2" t="str">
        <f>IFERROR(_xlfn.XLOOKUP(tblSorties[[#This Row],[Machine]], tblmachines[ID_Machine], tblmachines[Client]), "")</f>
        <v>COMMUNE DE VENDARGUES</v>
      </c>
      <c r="F47" s="2" t="s">
        <v>381</v>
      </c>
      <c r="G47" s="2" t="s">
        <v>320</v>
      </c>
      <c r="H47" s="2" t="s">
        <v>5</v>
      </c>
      <c r="I47">
        <v>1</v>
      </c>
      <c r="J47" s="4" t="str">
        <f>tblSorties[[#This Row],[Modele]]&amp;"|"&amp;tblSorties[[#This Row],[Référence]]&amp;"|"&amp;tblSorties[[#This Row],[Couleur]]&amp;"|"&amp;tblSorties[[#This Row],[Type_Toner]]</f>
        <v>M5526C/D|TK5240K|K|Compatible</v>
      </c>
      <c r="K47" s="2">
        <f>_xlfn.XLOOKUP(tblSorties[[#This Row],[Cleprix]], tblprix[ClePrix], tblprix[Prix achat HT])</f>
        <v>23.3</v>
      </c>
      <c r="L47" s="2">
        <f>tblSorties[[#This Row],[Quantité]]*tblSorties[[#This Row],[Prix_Unitaire]]</f>
        <v>23.3</v>
      </c>
    </row>
    <row r="48" spans="1:12" x14ac:dyDescent="0.25">
      <c r="A48" s="3">
        <v>46022</v>
      </c>
      <c r="B48" s="3" t="str">
        <f>TEXT(tblSorties[[#This Row],[Date]],"aaaa-mm")</f>
        <v>2025-12</v>
      </c>
      <c r="C48" s="3" t="s">
        <v>170</v>
      </c>
      <c r="D48" s="2" t="str">
        <f>IFERROR(_xlfn.XLOOKUP(TRIM(tblSorties[[#This Row],[Machine]]),tblmachines[ID_Machine],tblmachines[Modèle]),"")</f>
        <v>M5526C/D</v>
      </c>
      <c r="E48" s="2" t="str">
        <f>IFERROR(_xlfn.XLOOKUP(tblSorties[[#This Row],[Machine]], tblmachines[ID_Machine], tblmachines[Client]), "")</f>
        <v>JAY IMMOBILIER</v>
      </c>
      <c r="F48" s="2" t="s">
        <v>381</v>
      </c>
      <c r="G48" s="2" t="s">
        <v>320</v>
      </c>
      <c r="H48" s="2" t="s">
        <v>5</v>
      </c>
      <c r="I48">
        <v>1</v>
      </c>
      <c r="J48" s="4" t="str">
        <f>tblSorties[[#This Row],[Modele]]&amp;"|"&amp;tblSorties[[#This Row],[Référence]]&amp;"|"&amp;tblSorties[[#This Row],[Couleur]]&amp;"|"&amp;tblSorties[[#This Row],[Type_Toner]]</f>
        <v>M5526C/D|TK5240K|K|Compatible</v>
      </c>
      <c r="K48" s="2">
        <f>_xlfn.XLOOKUP(tblSorties[[#This Row],[Cleprix]], tblprix[ClePrix], tblprix[Prix achat HT])</f>
        <v>23.3</v>
      </c>
      <c r="L48" s="2">
        <f>tblSorties[[#This Row],[Quantité]]*tblSorties[[#This Row],[Prix_Unitaire]]</f>
        <v>23.3</v>
      </c>
    </row>
    <row r="49" spans="1:12" x14ac:dyDescent="0.25">
      <c r="A49" s="3">
        <v>46022</v>
      </c>
      <c r="B49" s="3" t="str">
        <f>TEXT(tblSorties[[#This Row],[Date]],"aaaa-mm")</f>
        <v>2025-12</v>
      </c>
      <c r="C49" s="3" t="s">
        <v>170</v>
      </c>
      <c r="D49" s="2" t="str">
        <f>IFERROR(_xlfn.XLOOKUP(TRIM(tblSorties[[#This Row],[Machine]]),tblmachines[ID_Machine],tblmachines[Modèle]),"")</f>
        <v>M5526C/D</v>
      </c>
      <c r="E49" s="2" t="str">
        <f>IFERROR(_xlfn.XLOOKUP(tblSorties[[#This Row],[Machine]], tblmachines[ID_Machine], tblmachines[Client]), "")</f>
        <v>JAY IMMOBILIER</v>
      </c>
      <c r="F49" s="2" t="s">
        <v>382</v>
      </c>
      <c r="G49" s="2" t="s">
        <v>322</v>
      </c>
      <c r="H49" s="2" t="s">
        <v>5</v>
      </c>
      <c r="I49">
        <v>1</v>
      </c>
      <c r="J49" s="4" t="str">
        <f>tblSorties[[#This Row],[Modele]]&amp;"|"&amp;tblSorties[[#This Row],[Référence]]&amp;"|"&amp;tblSorties[[#This Row],[Couleur]]&amp;"|"&amp;tblSorties[[#This Row],[Type_Toner]]</f>
        <v>M5526C/D|TK5240C|C|Compatible</v>
      </c>
      <c r="K49" s="2">
        <f>_xlfn.XLOOKUP(tblSorties[[#This Row],[Cleprix]], tblprix[ClePrix], tblprix[Prix achat HT])</f>
        <v>30.3</v>
      </c>
      <c r="L49" s="2">
        <f>tblSorties[[#This Row],[Quantité]]*tblSorties[[#This Row],[Prix_Unitaire]]</f>
        <v>30.3</v>
      </c>
    </row>
    <row r="50" spans="1:12" x14ac:dyDescent="0.25">
      <c r="A50" s="3">
        <v>46022</v>
      </c>
      <c r="B50" s="3" t="str">
        <f>TEXT(tblSorties[[#This Row],[Date]],"aaaa-mm")</f>
        <v>2025-12</v>
      </c>
      <c r="C50" s="3" t="s">
        <v>218</v>
      </c>
      <c r="D50" s="2" t="str">
        <f>IFERROR(_xlfn.XLOOKUP(TRIM(tblSorties[[#This Row],[Machine]]),tblmachines[ID_Machine],tblmachines[Modèle]),"")</f>
        <v>M5526C/D</v>
      </c>
      <c r="E50" s="2" t="str">
        <f>IFERROR(_xlfn.XLOOKUP(tblSorties[[#This Row],[Machine]], tblmachines[ID_Machine], tblmachines[Client]), "")</f>
        <v>MONTPELLIER HSC VB</v>
      </c>
      <c r="F50" s="2" t="s">
        <v>381</v>
      </c>
      <c r="G50" s="2" t="s">
        <v>320</v>
      </c>
      <c r="H50" s="2" t="s">
        <v>5</v>
      </c>
      <c r="I50">
        <v>1</v>
      </c>
      <c r="J50" s="4" t="str">
        <f>tblSorties[[#This Row],[Modele]]&amp;"|"&amp;tblSorties[[#This Row],[Référence]]&amp;"|"&amp;tblSorties[[#This Row],[Couleur]]&amp;"|"&amp;tblSorties[[#This Row],[Type_Toner]]</f>
        <v>M5526C/D|TK5240K|K|Compatible</v>
      </c>
      <c r="K50" s="2">
        <f>_xlfn.XLOOKUP(tblSorties[[#This Row],[Cleprix]], tblprix[ClePrix], tblprix[Prix achat HT])</f>
        <v>23.3</v>
      </c>
      <c r="L50" s="2">
        <f>tblSorties[[#This Row],[Quantité]]*tblSorties[[#This Row],[Prix_Unitaire]]</f>
        <v>23.3</v>
      </c>
    </row>
    <row r="51" spans="1:12" x14ac:dyDescent="0.25">
      <c r="A51" s="3">
        <v>46022</v>
      </c>
      <c r="B51" s="3" t="str">
        <f>TEXT(tblSorties[[#This Row],[Date]],"aaaa-mm")</f>
        <v>2025-12</v>
      </c>
      <c r="C51" s="3" t="s">
        <v>218</v>
      </c>
      <c r="D51" s="2" t="str">
        <f>IFERROR(_xlfn.XLOOKUP(TRIM(tblSorties[[#This Row],[Machine]]),tblmachines[ID_Machine],tblmachines[Modèle]),"")</f>
        <v>M5526C/D</v>
      </c>
      <c r="E51" s="2" t="str">
        <f>IFERROR(_xlfn.XLOOKUP(tblSorties[[#This Row],[Machine]], tblmachines[ID_Machine], tblmachines[Client]), "")</f>
        <v>MONTPELLIER HSC VB</v>
      </c>
      <c r="F51" s="2" t="s">
        <v>382</v>
      </c>
      <c r="G51" s="2" t="s">
        <v>322</v>
      </c>
      <c r="H51" s="2" t="s">
        <v>5</v>
      </c>
      <c r="I51">
        <v>1</v>
      </c>
      <c r="J51" s="4" t="str">
        <f>tblSorties[[#This Row],[Modele]]&amp;"|"&amp;tblSorties[[#This Row],[Référence]]&amp;"|"&amp;tblSorties[[#This Row],[Couleur]]&amp;"|"&amp;tblSorties[[#This Row],[Type_Toner]]</f>
        <v>M5526C/D|TK5240C|C|Compatible</v>
      </c>
      <c r="K51" s="2">
        <f>_xlfn.XLOOKUP(tblSorties[[#This Row],[Cleprix]], tblprix[ClePrix], tblprix[Prix achat HT])</f>
        <v>30.3</v>
      </c>
      <c r="L51" s="2">
        <f>tblSorties[[#This Row],[Quantité]]*tblSorties[[#This Row],[Prix_Unitaire]]</f>
        <v>30.3</v>
      </c>
    </row>
    <row r="52" spans="1:12" x14ac:dyDescent="0.25">
      <c r="A52" s="3">
        <v>46022</v>
      </c>
      <c r="B52" s="3" t="str">
        <f>TEXT(tblSorties[[#This Row],[Date]],"aaaa-mm")</f>
        <v>2025-12</v>
      </c>
      <c r="C52" s="3" t="s">
        <v>218</v>
      </c>
      <c r="D52" s="2" t="str">
        <f>IFERROR(_xlfn.XLOOKUP(TRIM(tblSorties[[#This Row],[Machine]]),tblmachines[ID_Machine],tblmachines[Modèle]),"")</f>
        <v>M5526C/D</v>
      </c>
      <c r="E52" s="2" t="str">
        <f>IFERROR(_xlfn.XLOOKUP(tblSorties[[#This Row],[Machine]], tblmachines[ID_Machine], tblmachines[Client]), "")</f>
        <v>MONTPELLIER HSC VB</v>
      </c>
      <c r="F52" s="2" t="s">
        <v>383</v>
      </c>
      <c r="G52" s="2" t="s">
        <v>323</v>
      </c>
      <c r="H52" s="2" t="s">
        <v>5</v>
      </c>
      <c r="I52">
        <v>1</v>
      </c>
      <c r="J52" s="4" t="str">
        <f>tblSorties[[#This Row],[Modele]]&amp;"|"&amp;tblSorties[[#This Row],[Référence]]&amp;"|"&amp;tblSorties[[#This Row],[Couleur]]&amp;"|"&amp;tblSorties[[#This Row],[Type_Toner]]</f>
        <v>M5526C/D|TK5240M|M|Compatible</v>
      </c>
      <c r="K52" s="2">
        <f>_xlfn.XLOOKUP(tblSorties[[#This Row],[Cleprix]], tblprix[ClePrix], tblprix[Prix achat HT])</f>
        <v>30.3</v>
      </c>
      <c r="L52" s="2">
        <f>tblSorties[[#This Row],[Quantité]]*tblSorties[[#This Row],[Prix_Unitaire]]</f>
        <v>30.3</v>
      </c>
    </row>
    <row r="53" spans="1:12" x14ac:dyDescent="0.25">
      <c r="A53" s="3">
        <v>46022</v>
      </c>
      <c r="B53" s="3" t="str">
        <f>TEXT(tblSorties[[#This Row],[Date]],"aaaa-mm")</f>
        <v>2025-12</v>
      </c>
      <c r="C53" s="3" t="s">
        <v>218</v>
      </c>
      <c r="D53" s="2" t="str">
        <f>IFERROR(_xlfn.XLOOKUP(TRIM(tblSorties[[#This Row],[Machine]]),tblmachines[ID_Machine],tblmachines[Modèle]),"")</f>
        <v>M5526C/D</v>
      </c>
      <c r="E53" s="2" t="str">
        <f>IFERROR(_xlfn.XLOOKUP(tblSorties[[#This Row],[Machine]], tblmachines[ID_Machine], tblmachines[Client]), "")</f>
        <v>MONTPELLIER HSC VB</v>
      </c>
      <c r="F53" s="2" t="s">
        <v>384</v>
      </c>
      <c r="G53" s="2" t="s">
        <v>324</v>
      </c>
      <c r="H53" s="2" t="s">
        <v>5</v>
      </c>
      <c r="I53">
        <v>1</v>
      </c>
      <c r="J53" s="4" t="str">
        <f>tblSorties[[#This Row],[Modele]]&amp;"|"&amp;tblSorties[[#This Row],[Référence]]&amp;"|"&amp;tblSorties[[#This Row],[Couleur]]&amp;"|"&amp;tblSorties[[#This Row],[Type_Toner]]</f>
        <v>M5526C/D|TK5240Y|Y|Compatible</v>
      </c>
      <c r="K53" s="2">
        <f>_xlfn.XLOOKUP(tblSorties[[#This Row],[Cleprix]], tblprix[ClePrix], tblprix[Prix achat HT])</f>
        <v>30.3</v>
      </c>
      <c r="L53" s="2">
        <f>tblSorties[[#This Row],[Quantité]]*tblSorties[[#This Row],[Prix_Unitaire]]</f>
        <v>30.3</v>
      </c>
    </row>
    <row r="54" spans="1:12" x14ac:dyDescent="0.25">
      <c r="A54" s="3">
        <v>46022</v>
      </c>
      <c r="B54" s="3" t="str">
        <f>TEXT(tblSorties[[#This Row],[Date]],"aaaa-mm")</f>
        <v>2025-12</v>
      </c>
      <c r="C54" s="3" t="s">
        <v>219</v>
      </c>
      <c r="D54" s="2" t="str">
        <f>IFERROR(_xlfn.XLOOKUP(TRIM(tblSorties[[#This Row],[Machine]]),tblmachines[ID_Machine],tblmachines[Modèle]),"")</f>
        <v>M5526C/D</v>
      </c>
      <c r="E54" s="2" t="str">
        <f>IFERROR(_xlfn.XLOOKUP(tblSorties[[#This Row],[Machine]], tblmachines[ID_Machine], tblmachines[Client]), "")</f>
        <v>MONTPELLIER HSC VB</v>
      </c>
      <c r="F54" s="2" t="s">
        <v>383</v>
      </c>
      <c r="G54" s="2" t="s">
        <v>323</v>
      </c>
      <c r="H54" s="2" t="s">
        <v>5</v>
      </c>
      <c r="I54">
        <v>1</v>
      </c>
      <c r="J54" s="4" t="str">
        <f>tblSorties[[#This Row],[Modele]]&amp;"|"&amp;tblSorties[[#This Row],[Référence]]&amp;"|"&amp;tblSorties[[#This Row],[Couleur]]&amp;"|"&amp;tblSorties[[#This Row],[Type_Toner]]</f>
        <v>M5526C/D|TK5240M|M|Compatible</v>
      </c>
      <c r="K54" s="2">
        <f>_xlfn.XLOOKUP(tblSorties[[#This Row],[Cleprix]], tblprix[ClePrix], tblprix[Prix achat HT])</f>
        <v>30.3</v>
      </c>
      <c r="L54" s="2">
        <f>tblSorties[[#This Row],[Quantité]]*tblSorties[[#This Row],[Prix_Unitaire]]</f>
        <v>30.3</v>
      </c>
    </row>
    <row r="55" spans="1:12" x14ac:dyDescent="0.25">
      <c r="A55" s="3">
        <v>46022</v>
      </c>
      <c r="B55" s="3" t="str">
        <f>TEXT(tblSorties[[#This Row],[Date]],"aaaa-mm")</f>
        <v>2025-12</v>
      </c>
      <c r="C55" s="3" t="s">
        <v>219</v>
      </c>
      <c r="D55" s="2" t="str">
        <f>IFERROR(_xlfn.XLOOKUP(TRIM(tblSorties[[#This Row],[Machine]]),tblmachines[ID_Machine],tblmachines[Modèle]),"")</f>
        <v>M5526C/D</v>
      </c>
      <c r="E55" s="2" t="str">
        <f>IFERROR(_xlfn.XLOOKUP(tblSorties[[#This Row],[Machine]], tblmachines[ID_Machine], tblmachines[Client]), "")</f>
        <v>MONTPELLIER HSC VB</v>
      </c>
      <c r="F55" s="2" t="s">
        <v>384</v>
      </c>
      <c r="G55" s="2" t="s">
        <v>324</v>
      </c>
      <c r="H55" s="2" t="s">
        <v>5</v>
      </c>
      <c r="I55">
        <v>1</v>
      </c>
      <c r="J55" s="4" t="str">
        <f>tblSorties[[#This Row],[Modele]]&amp;"|"&amp;tblSorties[[#This Row],[Référence]]&amp;"|"&amp;tblSorties[[#This Row],[Couleur]]&amp;"|"&amp;tblSorties[[#This Row],[Type_Toner]]</f>
        <v>M5526C/D|TK5240Y|Y|Compatible</v>
      </c>
      <c r="K55" s="2">
        <f>_xlfn.XLOOKUP(tblSorties[[#This Row],[Cleprix]], tblprix[ClePrix], tblprix[Prix achat HT])</f>
        <v>30.3</v>
      </c>
      <c r="L55" s="2">
        <f>tblSorties[[#This Row],[Quantité]]*tblSorties[[#This Row],[Prix_Unitaire]]</f>
        <v>30.3</v>
      </c>
    </row>
    <row r="56" spans="1:12" x14ac:dyDescent="0.25">
      <c r="A56" s="3">
        <v>46022</v>
      </c>
      <c r="B56" s="3" t="str">
        <f>TEXT(tblSorties[[#This Row],[Date]],"aaaa-mm")</f>
        <v>2025-12</v>
      </c>
      <c r="C56" s="3" t="s">
        <v>224</v>
      </c>
      <c r="D56" s="2" t="str">
        <f>IFERROR(_xlfn.XLOOKUP(TRIM(tblSorties[[#This Row],[Machine]]),tblmachines[ID_Machine],tblmachines[Modèle]),"")</f>
        <v>M5526C/D</v>
      </c>
      <c r="E56" s="2" t="str">
        <f>IFERROR(_xlfn.XLOOKUP(tblSorties[[#This Row],[Machine]], tblmachines[ID_Machine], tblmachines[Client]), "")</f>
        <v>NAS CAR SUD</v>
      </c>
      <c r="F56" s="2" t="s">
        <v>383</v>
      </c>
      <c r="G56" s="2" t="s">
        <v>323</v>
      </c>
      <c r="H56" s="2" t="s">
        <v>5</v>
      </c>
      <c r="I56">
        <v>1</v>
      </c>
      <c r="J56" s="4" t="str">
        <f>tblSorties[[#This Row],[Modele]]&amp;"|"&amp;tblSorties[[#This Row],[Référence]]&amp;"|"&amp;tblSorties[[#This Row],[Couleur]]&amp;"|"&amp;tblSorties[[#This Row],[Type_Toner]]</f>
        <v>M5526C/D|TK5240M|M|Compatible</v>
      </c>
      <c r="K56" s="2">
        <f>_xlfn.XLOOKUP(tblSorties[[#This Row],[Cleprix]], tblprix[ClePrix], tblprix[Prix achat HT])</f>
        <v>30.3</v>
      </c>
      <c r="L56" s="2">
        <f>tblSorties[[#This Row],[Quantité]]*tblSorties[[#This Row],[Prix_Unitaire]]</f>
        <v>30.3</v>
      </c>
    </row>
    <row r="57" spans="1:12" x14ac:dyDescent="0.25">
      <c r="A57" s="3">
        <v>46022</v>
      </c>
      <c r="B57" s="3" t="str">
        <f>TEXT(tblSorties[[#This Row],[Date]],"aaaa-mm")</f>
        <v>2025-12</v>
      </c>
      <c r="C57" s="3" t="s">
        <v>256</v>
      </c>
      <c r="D57" s="2" t="str">
        <f>IFERROR(_xlfn.XLOOKUP(TRIM(tblSorties[[#This Row],[Machine]]),tblmachines[ID_Machine],tblmachines[Modèle]),"")</f>
        <v>M5526C/D</v>
      </c>
      <c r="E57" s="2" t="str">
        <f>IFERROR(_xlfn.XLOOKUP(tblSorties[[#This Row],[Machine]], tblmachines[ID_Machine], tblmachines[Client]), "")</f>
        <v>RESEAU FRANCE IMMO</v>
      </c>
      <c r="F57" s="2" t="s">
        <v>381</v>
      </c>
      <c r="G57" s="2" t="s">
        <v>320</v>
      </c>
      <c r="H57" s="2" t="s">
        <v>5</v>
      </c>
      <c r="I57">
        <v>2</v>
      </c>
      <c r="J57" s="4" t="str">
        <f>tblSorties[[#This Row],[Modele]]&amp;"|"&amp;tblSorties[[#This Row],[Référence]]&amp;"|"&amp;tblSorties[[#This Row],[Couleur]]&amp;"|"&amp;tblSorties[[#This Row],[Type_Toner]]</f>
        <v>M5526C/D|TK5240K|K|Compatible</v>
      </c>
      <c r="K57" s="2">
        <f>_xlfn.XLOOKUP(tblSorties[[#This Row],[Cleprix]], tblprix[ClePrix], tblprix[Prix achat HT])</f>
        <v>23.3</v>
      </c>
      <c r="L57" s="2">
        <f>tblSorties[[#This Row],[Quantité]]*tblSorties[[#This Row],[Prix_Unitaire]]</f>
        <v>46.6</v>
      </c>
    </row>
    <row r="58" spans="1:12" x14ac:dyDescent="0.25">
      <c r="A58" s="3">
        <v>46022</v>
      </c>
      <c r="B58" s="3" t="str">
        <f>TEXT(tblSorties[[#This Row],[Date]],"aaaa-mm")</f>
        <v>2025-12</v>
      </c>
      <c r="C58" s="3" t="s">
        <v>256</v>
      </c>
      <c r="D58" s="2" t="str">
        <f>IFERROR(_xlfn.XLOOKUP(TRIM(tblSorties[[#This Row],[Machine]]),tblmachines[ID_Machine],tblmachines[Modèle]),"")</f>
        <v>M5526C/D</v>
      </c>
      <c r="E58" s="2" t="str">
        <f>IFERROR(_xlfn.XLOOKUP(tblSorties[[#This Row],[Machine]], tblmachines[ID_Machine], tblmachines[Client]), "")</f>
        <v>RESEAU FRANCE IMMO</v>
      </c>
      <c r="F58" s="2" t="s">
        <v>382</v>
      </c>
      <c r="G58" s="2" t="s">
        <v>322</v>
      </c>
      <c r="H58" s="2" t="s">
        <v>5</v>
      </c>
      <c r="I58">
        <v>2</v>
      </c>
      <c r="J58" s="4" t="str">
        <f>tblSorties[[#This Row],[Modele]]&amp;"|"&amp;tblSorties[[#This Row],[Référence]]&amp;"|"&amp;tblSorties[[#This Row],[Couleur]]&amp;"|"&amp;tblSorties[[#This Row],[Type_Toner]]</f>
        <v>M5526C/D|TK5240C|C|Compatible</v>
      </c>
      <c r="K58" s="2">
        <f>_xlfn.XLOOKUP(tblSorties[[#This Row],[Cleprix]], tblprix[ClePrix], tblprix[Prix achat HT])</f>
        <v>30.3</v>
      </c>
      <c r="L58" s="2">
        <f>tblSorties[[#This Row],[Quantité]]*tblSorties[[#This Row],[Prix_Unitaire]]</f>
        <v>60.6</v>
      </c>
    </row>
    <row r="59" spans="1:12" x14ac:dyDescent="0.25">
      <c r="A59" s="3">
        <v>46022</v>
      </c>
      <c r="B59" s="3" t="str">
        <f>TEXT(tblSorties[[#This Row],[Date]],"aaaa-mm")</f>
        <v>2025-12</v>
      </c>
      <c r="C59" s="3" t="s">
        <v>297</v>
      </c>
      <c r="D59" s="2" t="str">
        <f>IFERROR(_xlfn.XLOOKUP(TRIM(tblSorties[[#This Row],[Machine]]),tblmachines[ID_Machine],tblmachines[Modèle]),"")</f>
        <v>M5526C/D</v>
      </c>
      <c r="E59" s="2" t="str">
        <f>IFERROR(_xlfn.XLOOKUP(tblSorties[[#This Row],[Machine]], tblmachines[ID_Machine], tblmachines[Client]), "")</f>
        <v>SWISSLIFE ACCUEIL</v>
      </c>
      <c r="F59" s="2" t="s">
        <v>382</v>
      </c>
      <c r="G59" s="2" t="s">
        <v>322</v>
      </c>
      <c r="H59" s="2" t="s">
        <v>5</v>
      </c>
      <c r="I59">
        <v>1</v>
      </c>
      <c r="J59" s="4" t="str">
        <f>tblSorties[[#This Row],[Modele]]&amp;"|"&amp;tblSorties[[#This Row],[Référence]]&amp;"|"&amp;tblSorties[[#This Row],[Couleur]]&amp;"|"&amp;tblSorties[[#This Row],[Type_Toner]]</f>
        <v>M5526C/D|TK5240C|C|Compatible</v>
      </c>
      <c r="K59" s="2">
        <f>_xlfn.XLOOKUP(tblSorties[[#This Row],[Cleprix]], tblprix[ClePrix], tblprix[Prix achat HT])</f>
        <v>30.3</v>
      </c>
      <c r="L59" s="2">
        <f>tblSorties[[#This Row],[Quantité]]*tblSorties[[#This Row],[Prix_Unitaire]]</f>
        <v>30.3</v>
      </c>
    </row>
    <row r="60" spans="1:12" x14ac:dyDescent="0.25">
      <c r="A60" s="3">
        <v>46022</v>
      </c>
      <c r="B60" s="3" t="str">
        <f>TEXT(tblSorties[[#This Row],[Date]],"aaaa-mm")</f>
        <v>2025-12</v>
      </c>
      <c r="C60" s="3" t="s">
        <v>300</v>
      </c>
      <c r="D60" s="2" t="str">
        <f>IFERROR(_xlfn.XLOOKUP(TRIM(tblSorties[[#This Row],[Machine]]),tblmachines[ID_Machine],tblmachines[Modèle]),"")</f>
        <v>M5526C/D</v>
      </c>
      <c r="E60" s="2" t="str">
        <f>IFERROR(_xlfn.XLOOKUP(tblSorties[[#This Row],[Machine]], tblmachines[ID_Machine], tblmachines[Client]), "")</f>
        <v>SWISSLIFE BUREAU 2</v>
      </c>
      <c r="F60" s="2" t="s">
        <v>382</v>
      </c>
      <c r="G60" s="2" t="s">
        <v>322</v>
      </c>
      <c r="H60" s="2" t="s">
        <v>5</v>
      </c>
      <c r="I60">
        <v>1</v>
      </c>
      <c r="J60" s="4" t="str">
        <f>tblSorties[[#This Row],[Modele]]&amp;"|"&amp;tblSorties[[#This Row],[Référence]]&amp;"|"&amp;tblSorties[[#This Row],[Couleur]]&amp;"|"&amp;tblSorties[[#This Row],[Type_Toner]]</f>
        <v>M5526C/D|TK5240C|C|Compatible</v>
      </c>
      <c r="K60" s="2">
        <f>_xlfn.XLOOKUP(tblSorties[[#This Row],[Cleprix]], tblprix[ClePrix], tblprix[Prix achat HT])</f>
        <v>30.3</v>
      </c>
      <c r="L60" s="2">
        <f>tblSorties[[#This Row],[Quantité]]*tblSorties[[#This Row],[Prix_Unitaire]]</f>
        <v>30.3</v>
      </c>
    </row>
    <row r="61" spans="1:12" x14ac:dyDescent="0.25">
      <c r="A61" s="3">
        <v>46022</v>
      </c>
      <c r="B61" s="3" t="str">
        <f>TEXT(tblSorties[[#This Row],[Date]],"aaaa-mm")</f>
        <v>2025-12</v>
      </c>
      <c r="C61" s="3" t="s">
        <v>90</v>
      </c>
      <c r="D61" s="2" t="str">
        <f>IFERROR(_xlfn.XLOOKUP(TRIM(tblSorties[[#This Row],[Machine]]),tblmachines[ID_Machine],tblmachines[Modèle]),"")</f>
        <v>287i</v>
      </c>
      <c r="E61" s="2" t="str">
        <f>IFERROR(_xlfn.XLOOKUP(tblSorties[[#This Row],[Machine]], tblmachines[ID_Machine], tblmachines[Client]), "")</f>
        <v>COMMUNE DE VENDARGUES</v>
      </c>
      <c r="F61" s="2" t="s">
        <v>419</v>
      </c>
      <c r="G61" s="2" t="s">
        <v>320</v>
      </c>
      <c r="H61" s="2" t="s">
        <v>4</v>
      </c>
      <c r="I61">
        <v>1</v>
      </c>
      <c r="J61" s="4" t="str">
        <f>tblSorties[[#This Row],[Modele]]&amp;"|"&amp;tblSorties[[#This Row],[Référence]]&amp;"|"&amp;tblSorties[[#This Row],[Couleur]]&amp;"|"&amp;tblSorties[[#This Row],[Type_Toner]]</f>
        <v>287i|TN323K|K|Original</v>
      </c>
      <c r="K61" s="2">
        <f>_xlfn.XLOOKUP(tblSorties[[#This Row],[Cleprix]], tblprix[ClePrix], tblprix[Prix achat HT])</f>
        <v>51.38</v>
      </c>
      <c r="L61" s="2">
        <f>tblSorties[[#This Row],[Quantité]]*tblSorties[[#This Row],[Prix_Unitaire]]</f>
        <v>51.38</v>
      </c>
    </row>
    <row r="62" spans="1:12" x14ac:dyDescent="0.25">
      <c r="A62" s="3">
        <v>46022</v>
      </c>
      <c r="B62" s="3" t="str">
        <f>TEXT(tblSorties[[#This Row],[Date]],"aaaa-mm")</f>
        <v>2025-12</v>
      </c>
      <c r="C62" s="3" t="s">
        <v>132</v>
      </c>
      <c r="D62" s="2" t="str">
        <f>IFERROR(_xlfn.XLOOKUP(TRIM(tblSorties[[#This Row],[Machine]]),tblmachines[ID_Machine],tblmachines[Modèle]),"")</f>
        <v>+3321i</v>
      </c>
      <c r="E62" s="2" t="str">
        <f>IFERROR(_xlfn.XLOOKUP(tblSorties[[#This Row],[Machine]], tblmachines[ID_Machine], tblmachines[Client]), "")</f>
        <v>FRANCE ALZHEIMER</v>
      </c>
      <c r="F62" s="2" t="s">
        <v>410</v>
      </c>
      <c r="G62" s="2" t="s">
        <v>320</v>
      </c>
      <c r="H62" s="2" t="s">
        <v>4</v>
      </c>
      <c r="I62">
        <v>1</v>
      </c>
      <c r="J62" s="4" t="str">
        <f>tblSorties[[#This Row],[Modele]]&amp;"|"&amp;tblSorties[[#This Row],[Référence]]&amp;"|"&amp;tblSorties[[#This Row],[Couleur]]&amp;"|"&amp;tblSorties[[#This Row],[Type_Toner]]</f>
        <v>+3321i|TNP80K|K|Original</v>
      </c>
      <c r="K62" s="2">
        <f>_xlfn.XLOOKUP(tblSorties[[#This Row],[Cleprix]], tblprix[ClePrix], tblprix[Prix achat HT])</f>
        <v>48.49</v>
      </c>
      <c r="L62" s="2">
        <f>tblSorties[[#This Row],[Quantité]]*tblSorties[[#This Row],[Prix_Unitaire]]</f>
        <v>48.49</v>
      </c>
    </row>
    <row r="63" spans="1:12" x14ac:dyDescent="0.25">
      <c r="A63" s="3">
        <v>46022</v>
      </c>
      <c r="B63" s="3" t="str">
        <f>TEXT(tblSorties[[#This Row],[Date]],"aaaa-mm")</f>
        <v>2025-12</v>
      </c>
      <c r="C63" s="3" t="s">
        <v>132</v>
      </c>
      <c r="D63" s="2" t="str">
        <f>IFERROR(_xlfn.XLOOKUP(TRIM(tblSorties[[#This Row],[Machine]]),tblmachines[ID_Machine],tblmachines[Modèle]),"")</f>
        <v>+3321i</v>
      </c>
      <c r="E63" s="2" t="str">
        <f>IFERROR(_xlfn.XLOOKUP(tblSorties[[#This Row],[Machine]], tblmachines[ID_Machine], tblmachines[Client]), "")</f>
        <v>FRANCE ALZHEIMER</v>
      </c>
      <c r="F63" s="2" t="s">
        <v>411</v>
      </c>
      <c r="G63" s="2" t="s">
        <v>322</v>
      </c>
      <c r="H63" s="2" t="s">
        <v>4</v>
      </c>
      <c r="I63">
        <v>1</v>
      </c>
      <c r="J63" s="4" t="str">
        <f>tblSorties[[#This Row],[Modele]]&amp;"|"&amp;tblSorties[[#This Row],[Référence]]&amp;"|"&amp;tblSorties[[#This Row],[Couleur]]&amp;"|"&amp;tblSorties[[#This Row],[Type_Toner]]</f>
        <v>+3321i|TNP80C|C|Original</v>
      </c>
      <c r="K63" s="2">
        <f>_xlfn.XLOOKUP(tblSorties[[#This Row],[Cleprix]], tblprix[ClePrix], tblprix[Prix achat HT])</f>
        <v>47.75</v>
      </c>
      <c r="L63" s="2">
        <f>tblSorties[[#This Row],[Quantité]]*tblSorties[[#This Row],[Prix_Unitaire]]</f>
        <v>47.75</v>
      </c>
    </row>
    <row r="64" spans="1:12" x14ac:dyDescent="0.25">
      <c r="A64" s="3">
        <v>46022</v>
      </c>
      <c r="B64" s="3" t="str">
        <f>TEXT(tblSorties[[#This Row],[Date]],"aaaa-mm")</f>
        <v>2025-12</v>
      </c>
      <c r="C64" s="3" t="s">
        <v>132</v>
      </c>
      <c r="D64" s="2" t="str">
        <f>IFERROR(_xlfn.XLOOKUP(TRIM(tblSorties[[#This Row],[Machine]]),tblmachines[ID_Machine],tblmachines[Modèle]),"")</f>
        <v>+3321i</v>
      </c>
      <c r="E64" s="2" t="str">
        <f>IFERROR(_xlfn.XLOOKUP(tblSorties[[#This Row],[Machine]], tblmachines[ID_Machine], tblmachines[Client]), "")</f>
        <v>FRANCE ALZHEIMER</v>
      </c>
      <c r="F64" s="2" t="s">
        <v>413</v>
      </c>
      <c r="G64" s="2" t="s">
        <v>324</v>
      </c>
      <c r="H64" s="2" t="s">
        <v>4</v>
      </c>
      <c r="I64">
        <v>1</v>
      </c>
      <c r="J64" s="4" t="str">
        <f>tblSorties[[#This Row],[Modele]]&amp;"|"&amp;tblSorties[[#This Row],[Référence]]&amp;"|"&amp;tblSorties[[#This Row],[Couleur]]&amp;"|"&amp;tblSorties[[#This Row],[Type_Toner]]</f>
        <v>+3321i|TNP80Y|Y|Original</v>
      </c>
      <c r="K64" s="2">
        <f>_xlfn.XLOOKUP(tblSorties[[#This Row],[Cleprix]], tblprix[ClePrix], tblprix[Prix achat HT])</f>
        <v>47.75</v>
      </c>
      <c r="L64" s="2">
        <f>tblSorties[[#This Row],[Quantité]]*tblSorties[[#This Row],[Prix_Unitaire]]</f>
        <v>47.75</v>
      </c>
    </row>
    <row r="65" spans="1:12" x14ac:dyDescent="0.25">
      <c r="A65" s="3">
        <v>46022</v>
      </c>
      <c r="B65" s="3" t="str">
        <f>TEXT(tblSorties[[#This Row],[Date]],"aaaa-mm")</f>
        <v>2025-12</v>
      </c>
      <c r="C65" s="3" t="s">
        <v>138</v>
      </c>
      <c r="D65" s="2" t="str">
        <f>IFERROR(_xlfn.XLOOKUP(TRIM(tblSorties[[#This Row],[Machine]]),tblmachines[ID_Machine],tblmachines[Modèle]),"")</f>
        <v>3252/3253Ci</v>
      </c>
      <c r="E65" s="2" t="str">
        <f>IFERROR(_xlfn.XLOOKUP(tblSorties[[#This Row],[Machine]], tblmachines[ID_Machine], tblmachines[Client]), "")</f>
        <v>FUERST PLAST</v>
      </c>
      <c r="F65" s="2" t="s">
        <v>505</v>
      </c>
      <c r="G65" s="2" t="s">
        <v>320</v>
      </c>
      <c r="H65" s="2" t="s">
        <v>5</v>
      </c>
      <c r="I65">
        <v>1</v>
      </c>
      <c r="J65" s="4" t="str">
        <f>tblSorties[[#This Row],[Modele]]&amp;"|"&amp;tblSorties[[#This Row],[Référence]]&amp;"|"&amp;tblSorties[[#This Row],[Couleur]]&amp;"|"&amp;tblSorties[[#This Row],[Type_Toner]]</f>
        <v>3252/3253Ci|TK8335K|K|Compatible</v>
      </c>
      <c r="K65" s="2">
        <f>_xlfn.XLOOKUP(tblSorties[[#This Row],[Cleprix]], tblprix[ClePrix], tblprix[Prix achat HT])</f>
        <v>36.5</v>
      </c>
      <c r="L65" s="2">
        <f>tblSorties[[#This Row],[Quantité]]*tblSorties[[#This Row],[Prix_Unitaire]]</f>
        <v>36.5</v>
      </c>
    </row>
    <row r="66" spans="1:12" x14ac:dyDescent="0.25">
      <c r="A66" s="3">
        <v>46022</v>
      </c>
      <c r="B66" s="3" t="str">
        <f>TEXT(tblSorties[[#This Row],[Date]],"aaaa-mm")</f>
        <v>2025-12</v>
      </c>
      <c r="C66" s="3" t="s">
        <v>182</v>
      </c>
      <c r="D66" s="2" t="str">
        <f>IFERROR(_xlfn.XLOOKUP(TRIM(tblSorties[[#This Row],[Machine]]),tblmachines[ID_Machine],tblmachines[Modèle]),"")</f>
        <v>3252/3253Ci</v>
      </c>
      <c r="E66" s="2" t="str">
        <f>IFERROR(_xlfn.XLOOKUP(tblSorties[[#This Row],[Machine]], tblmachines[ID_Machine], tblmachines[Client]), "")</f>
        <v>LA PIEUVRE DU SUD</v>
      </c>
      <c r="F66" s="2" t="s">
        <v>503</v>
      </c>
      <c r="G66" s="2" t="s">
        <v>323</v>
      </c>
      <c r="H66" s="2" t="s">
        <v>5</v>
      </c>
      <c r="I66">
        <v>1</v>
      </c>
      <c r="J66" s="4" t="str">
        <f>tblSorties[[#This Row],[Modele]]&amp;"|"&amp;tblSorties[[#This Row],[Référence]]&amp;"|"&amp;tblSorties[[#This Row],[Couleur]]&amp;"|"&amp;tblSorties[[#This Row],[Type_Toner]]</f>
        <v>3252/3253Ci|TK8335M|M|Compatible</v>
      </c>
      <c r="K66" s="2">
        <f>_xlfn.XLOOKUP(tblSorties[[#This Row],[Cleprix]], tblprix[ClePrix], tblprix[Prix achat HT])</f>
        <v>39.5</v>
      </c>
      <c r="L66" s="2">
        <f>tblSorties[[#This Row],[Quantité]]*tblSorties[[#This Row],[Prix_Unitaire]]</f>
        <v>39.5</v>
      </c>
    </row>
    <row r="67" spans="1:12" x14ac:dyDescent="0.25">
      <c r="A67" s="3">
        <v>46022</v>
      </c>
      <c r="B67" s="3" t="str">
        <f>TEXT(tblSorties[[#This Row],[Date]],"aaaa-mm")</f>
        <v>2025-12</v>
      </c>
      <c r="C67" s="3" t="s">
        <v>182</v>
      </c>
      <c r="D67" s="2" t="str">
        <f>IFERROR(_xlfn.XLOOKUP(TRIM(tblSorties[[#This Row],[Machine]]),tblmachines[ID_Machine],tblmachines[Modèle]),"")</f>
        <v>3252/3253Ci</v>
      </c>
      <c r="E67" s="2" t="str">
        <f>IFERROR(_xlfn.XLOOKUP(tblSorties[[#This Row],[Machine]], tblmachines[ID_Machine], tblmachines[Client]), "")</f>
        <v>LA PIEUVRE DU SUD</v>
      </c>
      <c r="F67" s="2" t="s">
        <v>504</v>
      </c>
      <c r="G67" s="2" t="s">
        <v>324</v>
      </c>
      <c r="H67" s="2" t="s">
        <v>5</v>
      </c>
      <c r="I67">
        <v>1</v>
      </c>
      <c r="J67" s="4" t="str">
        <f>tblSorties[[#This Row],[Modele]]&amp;"|"&amp;tblSorties[[#This Row],[Référence]]&amp;"|"&amp;tblSorties[[#This Row],[Couleur]]&amp;"|"&amp;tblSorties[[#This Row],[Type_Toner]]</f>
        <v>3252/3253Ci|TK8335Y|Y|Compatible</v>
      </c>
      <c r="K67" s="2">
        <f>_xlfn.XLOOKUP(tblSorties[[#This Row],[Cleprix]], tblprix[ClePrix], tblprix[Prix achat HT])</f>
        <v>39.5</v>
      </c>
      <c r="L67" s="2">
        <f>tblSorties[[#This Row],[Quantité]]*tblSorties[[#This Row],[Prix_Unitaire]]</f>
        <v>39.5</v>
      </c>
    </row>
    <row r="68" spans="1:12" x14ac:dyDescent="0.25">
      <c r="A68" s="3">
        <v>46022</v>
      </c>
      <c r="B68" s="3" t="str">
        <f>TEXT(tblSorties[[#This Row],[Date]],"aaaa-mm")</f>
        <v>2025-12</v>
      </c>
      <c r="C68" s="3" t="s">
        <v>244</v>
      </c>
      <c r="D68" s="2" t="str">
        <f>IFERROR(_xlfn.XLOOKUP(TRIM(tblSorties[[#This Row],[Machine]]),tblmachines[ID_Machine],tblmachines[Modèle]),"")</f>
        <v>3252/3253Ci</v>
      </c>
      <c r="E68" s="2" t="str">
        <f>IFERROR(_xlfn.XLOOKUP(tblSorties[[#This Row],[Machine]], tblmachines[ID_Machine], tblmachines[Client]), "")</f>
        <v>PILAUKA</v>
      </c>
      <c r="F68" s="2" t="s">
        <v>502</v>
      </c>
      <c r="G68" s="2" t="s">
        <v>322</v>
      </c>
      <c r="H68" s="2" t="s">
        <v>5</v>
      </c>
      <c r="I68">
        <v>1</v>
      </c>
      <c r="J68" s="4" t="str">
        <f>tblSorties[[#This Row],[Modele]]&amp;"|"&amp;tblSorties[[#This Row],[Référence]]&amp;"|"&amp;tblSorties[[#This Row],[Couleur]]&amp;"|"&amp;tblSorties[[#This Row],[Type_Toner]]</f>
        <v>3252/3253Ci|TK8335C|C|Compatible</v>
      </c>
      <c r="K68" s="2">
        <f>_xlfn.XLOOKUP(tblSorties[[#This Row],[Cleprix]], tblprix[ClePrix], tblprix[Prix achat HT])</f>
        <v>39.5</v>
      </c>
      <c r="L68" s="2">
        <f>tblSorties[[#This Row],[Quantité]]*tblSorties[[#This Row],[Prix_Unitaire]]</f>
        <v>39.5</v>
      </c>
    </row>
    <row r="69" spans="1:12" x14ac:dyDescent="0.25">
      <c r="A69" s="3">
        <v>46022</v>
      </c>
      <c r="B69" s="3" t="str">
        <f>TEXT(tblSorties[[#This Row],[Date]],"aaaa-mm")</f>
        <v>2025-12</v>
      </c>
      <c r="C69" s="3" t="s">
        <v>244</v>
      </c>
      <c r="D69" s="2" t="str">
        <f>IFERROR(_xlfn.XLOOKUP(TRIM(tblSorties[[#This Row],[Machine]]),tblmachines[ID_Machine],tblmachines[Modèle]),"")</f>
        <v>3252/3253Ci</v>
      </c>
      <c r="E69" s="2" t="str">
        <f>IFERROR(_xlfn.XLOOKUP(tblSorties[[#This Row],[Machine]], tblmachines[ID_Machine], tblmachines[Client]), "")</f>
        <v>PILAUKA</v>
      </c>
      <c r="F69" s="2" t="s">
        <v>503</v>
      </c>
      <c r="G69" s="2" t="s">
        <v>323</v>
      </c>
      <c r="H69" s="2" t="s">
        <v>5</v>
      </c>
      <c r="I69">
        <v>1</v>
      </c>
      <c r="J69" s="4" t="str">
        <f>tblSorties[[#This Row],[Modele]]&amp;"|"&amp;tblSorties[[#This Row],[Référence]]&amp;"|"&amp;tblSorties[[#This Row],[Couleur]]&amp;"|"&amp;tblSorties[[#This Row],[Type_Toner]]</f>
        <v>3252/3253Ci|TK8335M|M|Compatible</v>
      </c>
      <c r="K69" s="2">
        <f>_xlfn.XLOOKUP(tblSorties[[#This Row],[Cleprix]], tblprix[ClePrix], tblprix[Prix achat HT])</f>
        <v>39.5</v>
      </c>
      <c r="L69" s="2">
        <f>tblSorties[[#This Row],[Quantité]]*tblSorties[[#This Row],[Prix_Unitaire]]</f>
        <v>39.5</v>
      </c>
    </row>
    <row r="70" spans="1:12" x14ac:dyDescent="0.25">
      <c r="A70" s="3">
        <v>46022</v>
      </c>
      <c r="B70" s="3" t="str">
        <f>TEXT(tblSorties[[#This Row],[Date]],"aaaa-mm")</f>
        <v>2025-12</v>
      </c>
      <c r="C70" s="3" t="s">
        <v>244</v>
      </c>
      <c r="D70" s="2" t="str">
        <f>IFERROR(_xlfn.XLOOKUP(TRIM(tblSorties[[#This Row],[Machine]]),tblmachines[ID_Machine],tblmachines[Modèle]),"")</f>
        <v>3252/3253Ci</v>
      </c>
      <c r="E70" s="2" t="str">
        <f>IFERROR(_xlfn.XLOOKUP(tblSorties[[#This Row],[Machine]], tblmachines[ID_Machine], tblmachines[Client]), "")</f>
        <v>PILAUKA</v>
      </c>
      <c r="F70" s="2" t="s">
        <v>504</v>
      </c>
      <c r="G70" s="2" t="s">
        <v>324</v>
      </c>
      <c r="H70" s="2" t="s">
        <v>5</v>
      </c>
      <c r="I70">
        <v>1</v>
      </c>
      <c r="J70" s="4" t="str">
        <f>tblSorties[[#This Row],[Modele]]&amp;"|"&amp;tblSorties[[#This Row],[Référence]]&amp;"|"&amp;tblSorties[[#This Row],[Couleur]]&amp;"|"&amp;tblSorties[[#This Row],[Type_Toner]]</f>
        <v>3252/3253Ci|TK8335Y|Y|Compatible</v>
      </c>
      <c r="K70" s="2">
        <f>_xlfn.XLOOKUP(tblSorties[[#This Row],[Cleprix]], tblprix[ClePrix], tblprix[Prix achat HT])</f>
        <v>39.5</v>
      </c>
      <c r="L70" s="2">
        <f>tblSorties[[#This Row],[Quantité]]*tblSorties[[#This Row],[Prix_Unitaire]]</f>
        <v>39.5</v>
      </c>
    </row>
    <row r="71" spans="1:12" x14ac:dyDescent="0.25">
      <c r="A71" s="3">
        <v>46022</v>
      </c>
      <c r="B71" s="3" t="str">
        <f>TEXT(tblSorties[[#This Row],[Date]],"aaaa-mm")</f>
        <v>2025-12</v>
      </c>
      <c r="C71" s="3" t="s">
        <v>271</v>
      </c>
      <c r="D71" s="2" t="str">
        <f>IFERROR(_xlfn.XLOOKUP(TRIM(tblSorties[[#This Row],[Machine]]),tblmachines[ID_Machine],tblmachines[Modèle]),"")</f>
        <v>3252/3253Ci</v>
      </c>
      <c r="E71" s="2" t="str">
        <f>IFERROR(_xlfn.XLOOKUP(tblSorties[[#This Row],[Machine]], tblmachines[ID_Machine], tblmachines[Client]), "")</f>
        <v>SECOURS CATHOLIQUE</v>
      </c>
      <c r="F71" s="2" t="s">
        <v>503</v>
      </c>
      <c r="G71" s="2" t="s">
        <v>323</v>
      </c>
      <c r="H71" s="2" t="s">
        <v>5</v>
      </c>
      <c r="I71">
        <v>1</v>
      </c>
      <c r="J71" s="4" t="str">
        <f>tblSorties[[#This Row],[Modele]]&amp;"|"&amp;tblSorties[[#This Row],[Référence]]&amp;"|"&amp;tblSorties[[#This Row],[Couleur]]&amp;"|"&amp;tblSorties[[#This Row],[Type_Toner]]</f>
        <v>3252/3253Ci|TK8335M|M|Compatible</v>
      </c>
      <c r="K71" s="2">
        <f>_xlfn.XLOOKUP(tblSorties[[#This Row],[Cleprix]], tblprix[ClePrix], tblprix[Prix achat HT])</f>
        <v>39.5</v>
      </c>
      <c r="L71" s="2">
        <f>tblSorties[[#This Row],[Quantité]]*tblSorties[[#This Row],[Prix_Unitaire]]</f>
        <v>39.5</v>
      </c>
    </row>
    <row r="72" spans="1:12" x14ac:dyDescent="0.25">
      <c r="A72" s="3">
        <v>46022</v>
      </c>
      <c r="B72" s="3" t="str">
        <f>TEXT(tblSorties[[#This Row],[Date]],"aaaa-mm")</f>
        <v>2025-12</v>
      </c>
      <c r="C72" s="3" t="s">
        <v>188</v>
      </c>
      <c r="D72" s="2" t="str">
        <f>IFERROR(_xlfn.XLOOKUP(TRIM(tblSorties[[#This Row],[Machine]]),tblmachines[ID_Machine],tblmachines[Modèle]),"")</f>
        <v>MF3302</v>
      </c>
      <c r="E72" s="2" t="str">
        <f>IFERROR(_xlfn.XLOOKUP(tblSorties[[#This Row],[Machine]], tblmachines[ID_Machine], tblmachines[Client]), "")</f>
        <v>LK AVOCATS</v>
      </c>
      <c r="F72" s="2" t="s">
        <v>345</v>
      </c>
      <c r="G72" s="2" t="s">
        <v>320</v>
      </c>
      <c r="H72" s="2" t="s">
        <v>4</v>
      </c>
      <c r="I72">
        <v>1</v>
      </c>
      <c r="J72" s="4" t="str">
        <f>tblSorties[[#This Row],[Modele]]&amp;"|"&amp;tblSorties[[#This Row],[Référence]]&amp;"|"&amp;tblSorties[[#This Row],[Couleur]]&amp;"|"&amp;tblSorties[[#This Row],[Type_Toner]]</f>
        <v>MF3302|B1353|K|Original</v>
      </c>
      <c r="K72" s="2">
        <f>_xlfn.XLOOKUP(tblSorties[[#This Row],[Cleprix]], tblprix[ClePrix], tblprix[Prix achat HT])</f>
        <v>47</v>
      </c>
      <c r="L72" s="2">
        <f>tblSorties[[#This Row],[Quantité]]*tblSorties[[#This Row],[Prix_Unitaire]]</f>
        <v>47</v>
      </c>
    </row>
    <row r="73" spans="1:12" x14ac:dyDescent="0.25">
      <c r="A73" s="3">
        <v>46022</v>
      </c>
      <c r="B73" s="3" t="str">
        <f>TEXT(tblSorties[[#This Row],[Date]],"aaaa-mm")</f>
        <v>2025-12</v>
      </c>
      <c r="C73" s="3" t="s">
        <v>188</v>
      </c>
      <c r="D73" s="2" t="str">
        <f>IFERROR(_xlfn.XLOOKUP(TRIM(tblSorties[[#This Row],[Machine]]),tblmachines[ID_Machine],tblmachines[Modèle]),"")</f>
        <v>MF3302</v>
      </c>
      <c r="E73" s="2" t="str">
        <f>IFERROR(_xlfn.XLOOKUP(tblSorties[[#This Row],[Machine]], tblmachines[ID_Machine], tblmachines[Client]), "")</f>
        <v>LK AVOCATS</v>
      </c>
      <c r="F73" s="2" t="s">
        <v>479</v>
      </c>
      <c r="G73" s="2" t="s">
        <v>323</v>
      </c>
      <c r="H73" s="2" t="s">
        <v>4</v>
      </c>
      <c r="I73">
        <v>1</v>
      </c>
      <c r="J73" s="4" t="str">
        <f>tblSorties[[#This Row],[Modele]]&amp;"|"&amp;tblSorties[[#This Row],[Référence]]&amp;"|"&amp;tblSorties[[#This Row],[Couleur]]&amp;"|"&amp;tblSorties[[#This Row],[Type_Toner]]</f>
        <v>MF3302|B135|M|Original</v>
      </c>
      <c r="K73" s="2">
        <f>_xlfn.XLOOKUP(tblSorties[[#This Row],[Cleprix]], tblprix[ClePrix], tblprix[Prix achat HT])</f>
        <v>49</v>
      </c>
      <c r="L73" s="2">
        <f>tblSorties[[#This Row],[Quantité]]*tblSorties[[#This Row],[Prix_Unitaire]]</f>
        <v>49</v>
      </c>
    </row>
    <row r="74" spans="1:12" x14ac:dyDescent="0.25">
      <c r="A74" s="3">
        <v>46022</v>
      </c>
      <c r="B74" s="3" t="str">
        <f>TEXT(tblSorties[[#This Row],[Date]],"aaaa-mm")</f>
        <v>2025-12</v>
      </c>
      <c r="C74" s="3" t="s">
        <v>188</v>
      </c>
      <c r="D74" s="2" t="str">
        <f>IFERROR(_xlfn.XLOOKUP(TRIM(tblSorties[[#This Row],[Machine]]),tblmachines[ID_Machine],tblmachines[Modèle]),"")</f>
        <v>MF3302</v>
      </c>
      <c r="E74" s="2" t="str">
        <f>IFERROR(_xlfn.XLOOKUP(tblSorties[[#This Row],[Machine]], tblmachines[ID_Machine], tblmachines[Client]), "")</f>
        <v>LK AVOCATS</v>
      </c>
      <c r="F74" s="2" t="s">
        <v>346</v>
      </c>
      <c r="G74" s="2" t="s">
        <v>324</v>
      </c>
      <c r="H74" s="2" t="s">
        <v>4</v>
      </c>
      <c r="I74">
        <v>1</v>
      </c>
      <c r="J74" s="4" t="str">
        <f>tblSorties[[#This Row],[Modele]]&amp;"|"&amp;tblSorties[[#This Row],[Référence]]&amp;"|"&amp;tblSorties[[#This Row],[Couleur]]&amp;"|"&amp;tblSorties[[#This Row],[Type_Toner]]</f>
        <v>MF3302|B1355|Y|Original</v>
      </c>
      <c r="K74" s="2">
        <f>_xlfn.XLOOKUP(tblSorties[[#This Row],[Cleprix]], tblprix[ClePrix], tblprix[Prix achat HT])</f>
        <v>42.53</v>
      </c>
      <c r="L74" s="2">
        <f>tblSorties[[#This Row],[Quantité]]*tblSorties[[#This Row],[Prix_Unitaire]]</f>
        <v>42.53</v>
      </c>
    </row>
    <row r="75" spans="1:12" x14ac:dyDescent="0.25">
      <c r="A75" s="3">
        <v>46022</v>
      </c>
      <c r="B75" s="3" t="str">
        <f>TEXT(tblSorties[[#This Row],[Date]],"aaaa-mm")</f>
        <v>2025-12</v>
      </c>
      <c r="C75" s="3" t="s">
        <v>14</v>
      </c>
      <c r="D75" s="2" t="str">
        <f>IFERROR(_xlfn.XLOOKUP(TRIM(tblSorties[[#This Row],[Machine]]),tblmachines[ID_Machine],tblmachines[Modèle]),"")</f>
        <v>356Ci</v>
      </c>
      <c r="E75" s="2" t="str">
        <f>IFERROR(_xlfn.XLOOKUP(tblSorties[[#This Row],[Machine]], tblmachines[ID_Machine], tblmachines[Client]), "")</f>
        <v>A2C</v>
      </c>
      <c r="F75" s="2" t="s">
        <v>379</v>
      </c>
      <c r="G75" s="2" t="s">
        <v>323</v>
      </c>
      <c r="H75" s="2" t="s">
        <v>5</v>
      </c>
      <c r="I75">
        <v>1</v>
      </c>
      <c r="J75" s="4" t="str">
        <f>tblSorties[[#This Row],[Modele]]&amp;"|"&amp;tblSorties[[#This Row],[Référence]]&amp;"|"&amp;tblSorties[[#This Row],[Couleur]]&amp;"|"&amp;tblSorties[[#This Row],[Type_Toner]]</f>
        <v>356Ci|TK5205M|M|Compatible</v>
      </c>
      <c r="K75" s="2">
        <f>_xlfn.XLOOKUP(tblSorties[[#This Row],[Cleprix]], tblprix[ClePrix], tblprix[Prix achat HT])</f>
        <v>38.5</v>
      </c>
      <c r="L75" s="2">
        <f>tblSorties[[#This Row],[Quantité]]*tblSorties[[#This Row],[Prix_Unitaire]]</f>
        <v>38.5</v>
      </c>
    </row>
    <row r="76" spans="1:12" x14ac:dyDescent="0.25">
      <c r="A76" s="3">
        <v>46022</v>
      </c>
      <c r="B76" s="3" t="str">
        <f>TEXT(tblSorties[[#This Row],[Date]],"aaaa-mm")</f>
        <v>2025-12</v>
      </c>
      <c r="C76" s="3" t="s">
        <v>24</v>
      </c>
      <c r="D76" s="2" t="str">
        <f>IFERROR(_xlfn.XLOOKUP(TRIM(tblSorties[[#This Row],[Machine]]),tblmachines[ID_Machine],tblmachines[Modèle]),"")</f>
        <v>5052/5053Ci</v>
      </c>
      <c r="E76" s="2" t="str">
        <f>IFERROR(_xlfn.XLOOKUP(tblSorties[[#This Row],[Machine]], tblmachines[ID_Machine], tblmachines[Client]), "")</f>
        <v>APESUD</v>
      </c>
      <c r="F76" s="2" t="s">
        <v>365</v>
      </c>
      <c r="G76" s="2" t="s">
        <v>320</v>
      </c>
      <c r="H76" s="2" t="s">
        <v>5</v>
      </c>
      <c r="I76">
        <v>1</v>
      </c>
      <c r="J76" s="4" t="str">
        <f>tblSorties[[#This Row],[Modele]]&amp;"|"&amp;tblSorties[[#This Row],[Référence]]&amp;"|"&amp;tblSorties[[#This Row],[Couleur]]&amp;"|"&amp;tblSorties[[#This Row],[Type_Toner]]</f>
        <v>5052/5053Ci|TK8515K|K|Compatible</v>
      </c>
      <c r="K76" s="2">
        <f>_xlfn.XLOOKUP(tblSorties[[#This Row],[Cleprix]], tblprix[ClePrix], tblprix[Prix achat HT])</f>
        <v>35.549999999999997</v>
      </c>
      <c r="L76" s="2">
        <f>tblSorties[[#This Row],[Quantité]]*tblSorties[[#This Row],[Prix_Unitaire]]</f>
        <v>35.549999999999997</v>
      </c>
    </row>
    <row r="77" spans="1:12" x14ac:dyDescent="0.25">
      <c r="A77" s="3">
        <v>46022</v>
      </c>
      <c r="B77" s="3" t="str">
        <f>TEXT(tblSorties[[#This Row],[Date]],"aaaa-mm")</f>
        <v>2025-12</v>
      </c>
      <c r="C77" s="3" t="s">
        <v>24</v>
      </c>
      <c r="D77" s="2" t="str">
        <f>IFERROR(_xlfn.XLOOKUP(TRIM(tblSorties[[#This Row],[Machine]]),tblmachines[ID_Machine],tblmachines[Modèle]),"")</f>
        <v>5052/5053Ci</v>
      </c>
      <c r="E77" s="2" t="str">
        <f>IFERROR(_xlfn.XLOOKUP(tblSorties[[#This Row],[Machine]], tblmachines[ID_Machine], tblmachines[Client]), "")</f>
        <v>APESUD</v>
      </c>
      <c r="F77" s="2" t="s">
        <v>366</v>
      </c>
      <c r="G77" s="2" t="s">
        <v>322</v>
      </c>
      <c r="H77" s="2" t="s">
        <v>5</v>
      </c>
      <c r="I77">
        <v>1</v>
      </c>
      <c r="J77" s="4" t="str">
        <f>tblSorties[[#This Row],[Modele]]&amp;"|"&amp;tblSorties[[#This Row],[Référence]]&amp;"|"&amp;tblSorties[[#This Row],[Couleur]]&amp;"|"&amp;tblSorties[[#This Row],[Type_Toner]]</f>
        <v>5052/5053Ci|TK8515C|C|Compatible</v>
      </c>
      <c r="K77" s="2">
        <f>_xlfn.XLOOKUP(tblSorties[[#This Row],[Cleprix]], tblprix[ClePrix], tblprix[Prix achat HT])</f>
        <v>59.75</v>
      </c>
      <c r="L77" s="2">
        <f>tblSorties[[#This Row],[Quantité]]*tblSorties[[#This Row],[Prix_Unitaire]]</f>
        <v>59.75</v>
      </c>
    </row>
    <row r="78" spans="1:12" x14ac:dyDescent="0.25">
      <c r="A78" s="3">
        <v>46022</v>
      </c>
      <c r="B78" s="3" t="str">
        <f>TEXT(tblSorties[[#This Row],[Date]],"aaaa-mm")</f>
        <v>2025-12</v>
      </c>
      <c r="C78" s="3" t="s">
        <v>24</v>
      </c>
      <c r="D78" s="2" t="str">
        <f>IFERROR(_xlfn.XLOOKUP(TRIM(tblSorties[[#This Row],[Machine]]),tblmachines[ID_Machine],tblmachines[Modèle]),"")</f>
        <v>5052/5053Ci</v>
      </c>
      <c r="E78" s="2" t="str">
        <f>IFERROR(_xlfn.XLOOKUP(tblSorties[[#This Row],[Machine]], tblmachines[ID_Machine], tblmachines[Client]), "")</f>
        <v>APESUD</v>
      </c>
      <c r="F78" s="2" t="s">
        <v>368</v>
      </c>
      <c r="G78" s="2" t="s">
        <v>324</v>
      </c>
      <c r="H78" s="2" t="s">
        <v>5</v>
      </c>
      <c r="I78">
        <v>1</v>
      </c>
      <c r="J78" s="4" t="str">
        <f>tblSorties[[#This Row],[Modele]]&amp;"|"&amp;tblSorties[[#This Row],[Référence]]&amp;"|"&amp;tblSorties[[#This Row],[Couleur]]&amp;"|"&amp;tblSorties[[#This Row],[Type_Toner]]</f>
        <v>5052/5053Ci|TK8515Y|Y|Compatible</v>
      </c>
      <c r="K78" s="2">
        <f>_xlfn.XLOOKUP(tblSorties[[#This Row],[Cleprix]], tblprix[ClePrix], tblprix[Prix achat HT])</f>
        <v>59.75</v>
      </c>
      <c r="L78" s="2">
        <f>tblSorties[[#This Row],[Quantité]]*tblSorties[[#This Row],[Prix_Unitaire]]</f>
        <v>59.75</v>
      </c>
    </row>
    <row r="79" spans="1:12" x14ac:dyDescent="0.25">
      <c r="A79" s="3">
        <v>46022</v>
      </c>
      <c r="B79" s="3" t="str">
        <f>TEXT(tblSorties[[#This Row],[Date]],"aaaa-mm")</f>
        <v>2025-12</v>
      </c>
      <c r="C79" s="3" t="s">
        <v>39</v>
      </c>
      <c r="D79" s="2" t="str">
        <f>IFERROR(_xlfn.XLOOKUP(TRIM(tblSorties[[#This Row],[Machine]]),tblmachines[ID_Machine],tblmachines[Modèle]),"")</f>
        <v>4052/4053Ci</v>
      </c>
      <c r="E79" s="2" t="str">
        <f>IFERROR(_xlfn.XLOOKUP(tblSorties[[#This Row],[Machine]], tblmachines[ID_Machine], tblmachines[Client]), "")</f>
        <v>ARTEMIS</v>
      </c>
      <c r="F79" s="2" t="s">
        <v>393</v>
      </c>
      <c r="G79" s="2" t="s">
        <v>324</v>
      </c>
      <c r="H79" s="2" t="s">
        <v>5</v>
      </c>
      <c r="I79">
        <v>1</v>
      </c>
      <c r="J79" s="4" t="str">
        <f>tblSorties[[#This Row],[Modele]]&amp;"|"&amp;tblSorties[[#This Row],[Référence]]&amp;"|"&amp;tblSorties[[#This Row],[Couleur]]&amp;"|"&amp;tblSorties[[#This Row],[Type_Toner]]</f>
        <v>4052/4053Ci|TK8525Y|Y|Compatible</v>
      </c>
      <c r="K79" s="2">
        <f>_xlfn.XLOOKUP(tblSorties[[#This Row],[Cleprix]], tblprix[ClePrix], tblprix[Prix achat HT])</f>
        <v>47.6</v>
      </c>
      <c r="L79" s="2">
        <f>tblSorties[[#This Row],[Quantité]]*tblSorties[[#This Row],[Prix_Unitaire]]</f>
        <v>47.6</v>
      </c>
    </row>
    <row r="80" spans="1:12" x14ac:dyDescent="0.25">
      <c r="A80" s="3">
        <v>46022</v>
      </c>
      <c r="B80" s="3" t="str">
        <f>TEXT(tblSorties[[#This Row],[Date]],"aaaa-mm")</f>
        <v>2025-12</v>
      </c>
      <c r="C80" s="3" t="s">
        <v>107</v>
      </c>
      <c r="D80" s="2" t="str">
        <f>IFERROR(_xlfn.XLOOKUP(TRIM(tblSorties[[#This Row],[Machine]]),tblmachines[ID_Machine],tblmachines[Modèle]),"")</f>
        <v>+250/1 300/1 360/1</v>
      </c>
      <c r="E80" s="2" t="str">
        <f>IFERROR(_xlfn.XLOOKUP(tblSorties[[#This Row],[Machine]], tblmachines[ID_Machine], tblmachines[Client]), "")</f>
        <v>DIXICOM</v>
      </c>
      <c r="F80" s="2" t="s">
        <v>395</v>
      </c>
      <c r="G80" s="2" t="s">
        <v>320</v>
      </c>
      <c r="H80" s="2" t="s">
        <v>4</v>
      </c>
      <c r="I80">
        <v>1</v>
      </c>
      <c r="J80" s="4" t="str">
        <f>tblSorties[[#This Row],[Modele]]&amp;"|"&amp;tblSorties[[#This Row],[Référence]]&amp;"|"&amp;tblSorties[[#This Row],[Couleur]]&amp;"|"&amp;tblSorties[[#This Row],[Type_Toner]]</f>
        <v>+250/1 300/1 360/1|TN328K|K|Original</v>
      </c>
      <c r="K80" s="2">
        <f>_xlfn.XLOOKUP(tblSorties[[#This Row],[Cleprix]], tblprix[ClePrix], tblprix[Prix achat HT])</f>
        <v>38.409999999999997</v>
      </c>
      <c r="L80" s="2">
        <f>tblSorties[[#This Row],[Quantité]]*tblSorties[[#This Row],[Prix_Unitaire]]</f>
        <v>38.409999999999997</v>
      </c>
    </row>
    <row r="81" spans="1:12" x14ac:dyDescent="0.25">
      <c r="A81" s="3">
        <v>46022</v>
      </c>
      <c r="B81" s="3" t="str">
        <f>TEXT(tblSorties[[#This Row],[Date]],"aaaa-mm")</f>
        <v>2025-12</v>
      </c>
      <c r="C81" s="3" t="s">
        <v>195</v>
      </c>
      <c r="D81" s="2" t="str">
        <f>IFERROR(_xlfn.XLOOKUP(TRIM(tblSorties[[#This Row],[Machine]]),tblmachines[ID_Machine],tblmachines[Modèle]),"")</f>
        <v>4052/4053Ci</v>
      </c>
      <c r="E81" s="2" t="str">
        <f>IFERROR(_xlfn.XLOOKUP(tblSorties[[#This Row],[Machine]], tblmachines[ID_Machine], tblmachines[Client]), "")</f>
        <v>MAITRE DELPHINE MOREAU</v>
      </c>
      <c r="F81" s="2" t="s">
        <v>390</v>
      </c>
      <c r="G81" s="2" t="s">
        <v>320</v>
      </c>
      <c r="H81" s="2" t="s">
        <v>5</v>
      </c>
      <c r="I81">
        <v>1</v>
      </c>
      <c r="J81" s="4" t="str">
        <f>tblSorties[[#This Row],[Modele]]&amp;"|"&amp;tblSorties[[#This Row],[Référence]]&amp;"|"&amp;tblSorties[[#This Row],[Couleur]]&amp;"|"&amp;tblSorties[[#This Row],[Type_Toner]]</f>
        <v>4052/4053Ci|TK8525K|K|Compatible</v>
      </c>
      <c r="K81" s="2">
        <f>_xlfn.XLOOKUP(tblSorties[[#This Row],[Cleprix]], tblprix[ClePrix], tblprix[Prix achat HT])</f>
        <v>42.55</v>
      </c>
      <c r="L81" s="2">
        <f>tblSorties[[#This Row],[Quantité]]*tblSorties[[#This Row],[Prix_Unitaire]]</f>
        <v>42.55</v>
      </c>
    </row>
    <row r="82" spans="1:12" x14ac:dyDescent="0.25">
      <c r="A82" s="3">
        <v>46022</v>
      </c>
      <c r="B82" s="3" t="str">
        <f>TEXT(tblSorties[[#This Row],[Date]],"aaaa-mm")</f>
        <v>2025-12</v>
      </c>
      <c r="C82" s="3" t="s">
        <v>195</v>
      </c>
      <c r="D82" s="2" t="str">
        <f>IFERROR(_xlfn.XLOOKUP(TRIM(tblSorties[[#This Row],[Machine]]),tblmachines[ID_Machine],tblmachines[Modèle]),"")</f>
        <v>4052/4053Ci</v>
      </c>
      <c r="E82" s="2" t="str">
        <f>IFERROR(_xlfn.XLOOKUP(tblSorties[[#This Row],[Machine]], tblmachines[ID_Machine], tblmachines[Client]), "")</f>
        <v>MAITRE DELPHINE MOREAU</v>
      </c>
      <c r="F82" s="2" t="s">
        <v>392</v>
      </c>
      <c r="G82" s="2" t="s">
        <v>323</v>
      </c>
      <c r="H82" s="2" t="s">
        <v>5</v>
      </c>
      <c r="I82">
        <v>1</v>
      </c>
      <c r="J82" s="4" t="str">
        <f>tblSorties[[#This Row],[Modele]]&amp;"|"&amp;tblSorties[[#This Row],[Référence]]&amp;"|"&amp;tblSorties[[#This Row],[Couleur]]&amp;"|"&amp;tblSorties[[#This Row],[Type_Toner]]</f>
        <v>4052/4053Ci|TK8525M|M|Compatible</v>
      </c>
      <c r="K82" s="2">
        <f>_xlfn.XLOOKUP(tblSorties[[#This Row],[Cleprix]], tblprix[ClePrix], tblprix[Prix achat HT])</f>
        <v>47.6</v>
      </c>
      <c r="L82" s="2">
        <f>tblSorties[[#This Row],[Quantité]]*tblSorties[[#This Row],[Prix_Unitaire]]</f>
        <v>47.6</v>
      </c>
    </row>
    <row r="83" spans="1:12" x14ac:dyDescent="0.25">
      <c r="A83" s="3">
        <v>46022</v>
      </c>
      <c r="B83" s="3" t="str">
        <f>TEXT(tblSorties[[#This Row],[Date]],"aaaa-mm")</f>
        <v>2025-12</v>
      </c>
      <c r="C83" s="3" t="s">
        <v>195</v>
      </c>
      <c r="D83" s="2" t="str">
        <f>IFERROR(_xlfn.XLOOKUP(TRIM(tblSorties[[#This Row],[Machine]]),tblmachines[ID_Machine],tblmachines[Modèle]),"")</f>
        <v>4052/4053Ci</v>
      </c>
      <c r="E83" s="2" t="str">
        <f>IFERROR(_xlfn.XLOOKUP(tblSorties[[#This Row],[Machine]], tblmachines[ID_Machine], tblmachines[Client]), "")</f>
        <v>MAITRE DELPHINE MOREAU</v>
      </c>
      <c r="F83" s="2" t="s">
        <v>393</v>
      </c>
      <c r="G83" s="2" t="s">
        <v>324</v>
      </c>
      <c r="H83" s="2" t="s">
        <v>5</v>
      </c>
      <c r="I83">
        <v>1</v>
      </c>
      <c r="J83" s="4" t="str">
        <f>tblSorties[[#This Row],[Modele]]&amp;"|"&amp;tblSorties[[#This Row],[Référence]]&amp;"|"&amp;tblSorties[[#This Row],[Couleur]]&amp;"|"&amp;tblSorties[[#This Row],[Type_Toner]]</f>
        <v>4052/4053Ci|TK8525Y|Y|Compatible</v>
      </c>
      <c r="K83" s="2">
        <f>_xlfn.XLOOKUP(tblSorties[[#This Row],[Cleprix]], tblprix[ClePrix], tblprix[Prix achat HT])</f>
        <v>47.6</v>
      </c>
      <c r="L83" s="2">
        <f>tblSorties[[#This Row],[Quantité]]*tblSorties[[#This Row],[Prix_Unitaire]]</f>
        <v>47.6</v>
      </c>
    </row>
    <row r="84" spans="1:12" x14ac:dyDescent="0.25">
      <c r="A84" s="3">
        <v>46022</v>
      </c>
      <c r="B84" s="3" t="str">
        <f>TEXT(tblSorties[[#This Row],[Date]],"aaaa-mm")</f>
        <v>2025-12</v>
      </c>
      <c r="C84" s="2" t="s">
        <v>241</v>
      </c>
      <c r="D84" s="2" t="str">
        <f>IFERROR(_xlfn.XLOOKUP(TRIM(tblSorties[[#This Row],[Machine]]),tblmachines[ID_Machine],tblmachines[Modèle]),"")</f>
        <v>3252/3253Ci</v>
      </c>
      <c r="E84" s="2" t="str">
        <f>IFERROR(_xlfn.XLOOKUP(tblSorties[[#This Row],[Machine]], tblmachines[ID_Machine], tblmachines[Client]), "")</f>
        <v>PAVLOVA IMMOBILIER</v>
      </c>
      <c r="F84" s="2" t="s">
        <v>385</v>
      </c>
      <c r="G84" s="2" t="s">
        <v>320</v>
      </c>
      <c r="H84" s="2" t="s">
        <v>5</v>
      </c>
      <c r="I84">
        <v>1</v>
      </c>
      <c r="J84" s="4" t="str">
        <f>tblSorties[[#This Row],[Modele]]&amp;"|"&amp;tblSorties[[#This Row],[Référence]]&amp;"|"&amp;tblSorties[[#This Row],[Couleur]]&amp;"|"&amp;tblSorties[[#This Row],[Type_Toner]]</f>
        <v>3252/3253Ci|TK8335k|K|Compatible</v>
      </c>
      <c r="K84" s="2">
        <f>_xlfn.XLOOKUP(tblSorties[[#This Row],[Cleprix]], tblprix[ClePrix], tblprix[Prix achat HT])</f>
        <v>36.5</v>
      </c>
      <c r="L84" s="2">
        <f>tblSorties[[#This Row],[Quantité]]*tblSorties[[#This Row],[Prix_Unitaire]]</f>
        <v>36.5</v>
      </c>
    </row>
    <row r="85" spans="1:12" x14ac:dyDescent="0.25">
      <c r="A85" s="3">
        <v>46022</v>
      </c>
      <c r="B85" s="3" t="str">
        <f>TEXT(tblSorties[[#This Row],[Date]],"aaaa-mm")</f>
        <v>2025-12</v>
      </c>
      <c r="C85" s="3" t="s">
        <v>287</v>
      </c>
      <c r="D85" s="2" t="str">
        <f>IFERROR(_xlfn.XLOOKUP(TRIM(tblSorties[[#This Row],[Machine]]),tblmachines[ID_Machine],tblmachines[Modèle]),"")</f>
        <v>2552Ci/2553</v>
      </c>
      <c r="E85" s="2" t="str">
        <f>IFERROR(_xlfn.XLOOKUP(tblSorties[[#This Row],[Machine]], tblmachines[ID_Machine], tblmachines[Client]), "")</f>
        <v>SIM FERMETURES</v>
      </c>
      <c r="F85" s="2" t="s">
        <v>387</v>
      </c>
      <c r="G85" s="2" t="s">
        <v>322</v>
      </c>
      <c r="H85" s="2" t="s">
        <v>5</v>
      </c>
      <c r="I85">
        <v>1</v>
      </c>
      <c r="J85" s="4" t="str">
        <f>tblSorties[[#This Row],[Modele]]&amp;"|"&amp;tblSorties[[#This Row],[Référence]]&amp;"|"&amp;tblSorties[[#This Row],[Couleur]]&amp;"|"&amp;tblSorties[[#This Row],[Type_Toner]]</f>
        <v>2552Ci/2553|TK8345C|C|Compatible</v>
      </c>
      <c r="K85" s="2">
        <f>_xlfn.XLOOKUP(tblSorties[[#This Row],[Cleprix]], tblprix[ClePrix], tblprix[Prix achat HT])</f>
        <v>40.4</v>
      </c>
      <c r="L85" s="2">
        <f>tblSorties[[#This Row],[Quantité]]*tblSorties[[#This Row],[Prix_Unitaire]]</f>
        <v>40.4</v>
      </c>
    </row>
    <row r="86" spans="1:12" x14ac:dyDescent="0.25">
      <c r="A86" s="3">
        <v>46022</v>
      </c>
      <c r="B86" s="3" t="str">
        <f>TEXT(tblSorties[[#This Row],[Date]],"aaaa-mm")</f>
        <v>2025-12</v>
      </c>
      <c r="C86" s="3" t="s">
        <v>287</v>
      </c>
      <c r="D86" s="2" t="str">
        <f>IFERROR(_xlfn.XLOOKUP(TRIM(tblSorties[[#This Row],[Machine]]),tblmachines[ID_Machine],tblmachines[Modèle]),"")</f>
        <v>2552Ci/2553</v>
      </c>
      <c r="E86" s="2" t="str">
        <f>IFERROR(_xlfn.XLOOKUP(tblSorties[[#This Row],[Machine]], tblmachines[ID_Machine], tblmachines[Client]), "")</f>
        <v>SIM FERMETURES</v>
      </c>
      <c r="F86" s="2" t="s">
        <v>388</v>
      </c>
      <c r="G86" s="2" t="s">
        <v>323</v>
      </c>
      <c r="H86" s="2" t="s">
        <v>5</v>
      </c>
      <c r="I86">
        <v>1</v>
      </c>
      <c r="J86" s="4" t="str">
        <f>tblSorties[[#This Row],[Modele]]&amp;"|"&amp;tblSorties[[#This Row],[Référence]]&amp;"|"&amp;tblSorties[[#This Row],[Couleur]]&amp;"|"&amp;tblSorties[[#This Row],[Type_Toner]]</f>
        <v>2552Ci/2553|TK8345M|M|Compatible</v>
      </c>
      <c r="K86" s="2">
        <f>_xlfn.XLOOKUP(tblSorties[[#This Row],[Cleprix]], tblprix[ClePrix], tblprix[Prix achat HT])</f>
        <v>40.4</v>
      </c>
      <c r="L86" s="2">
        <f>tblSorties[[#This Row],[Quantité]]*tblSorties[[#This Row],[Prix_Unitaire]]</f>
        <v>40.4</v>
      </c>
    </row>
    <row r="87" spans="1:12" x14ac:dyDescent="0.25">
      <c r="A87" s="3">
        <v>46022</v>
      </c>
      <c r="B87" s="3" t="str">
        <f>TEXT(tblSorties[[#This Row],[Date]],"aaaa-mm")</f>
        <v>2025-12</v>
      </c>
      <c r="C87" s="3" t="s">
        <v>287</v>
      </c>
      <c r="D87" s="2" t="str">
        <f>IFERROR(_xlfn.XLOOKUP(TRIM(tblSorties[[#This Row],[Machine]]),tblmachines[ID_Machine],tblmachines[Modèle]),"")</f>
        <v>2552Ci/2553</v>
      </c>
      <c r="E87" s="2" t="str">
        <f>IFERROR(_xlfn.XLOOKUP(tblSorties[[#This Row],[Machine]], tblmachines[ID_Machine], tblmachines[Client]), "")</f>
        <v>SIM FERMETURES</v>
      </c>
      <c r="F87" s="2" t="s">
        <v>389</v>
      </c>
      <c r="G87" s="2" t="s">
        <v>324</v>
      </c>
      <c r="H87" s="2" t="s">
        <v>5</v>
      </c>
      <c r="I87">
        <v>1</v>
      </c>
      <c r="J87" s="4" t="str">
        <f>tblSorties[[#This Row],[Modele]]&amp;"|"&amp;tblSorties[[#This Row],[Référence]]&amp;"|"&amp;tblSorties[[#This Row],[Couleur]]&amp;"|"&amp;tblSorties[[#This Row],[Type_Toner]]</f>
        <v>2552Ci/2553|TK8345Y|Y|Compatible</v>
      </c>
      <c r="K87" s="2">
        <f>_xlfn.XLOOKUP(tblSorties[[#This Row],[Cleprix]], tblprix[ClePrix], tblprix[Prix achat HT])</f>
        <v>40.4</v>
      </c>
      <c r="L87" s="2">
        <f>tblSorties[[#This Row],[Quantité]]*tblSorties[[#This Row],[Prix_Unitaire]]</f>
        <v>40.4</v>
      </c>
    </row>
    <row r="88" spans="1:12" x14ac:dyDescent="0.25">
      <c r="A88" s="3">
        <v>46022</v>
      </c>
      <c r="B88" s="3" t="str">
        <f>TEXT(tblSorties[[#This Row],[Date]],"aaaa-mm")</f>
        <v>2025-12</v>
      </c>
      <c r="C88" s="3" t="s">
        <v>293</v>
      </c>
      <c r="D88" s="2" t="str">
        <f>IFERROR(_xlfn.XLOOKUP(TRIM(tblSorties[[#This Row],[Machine]]),tblmachines[ID_Machine],tblmachines[Modèle]),"")</f>
        <v>MF3302</v>
      </c>
      <c r="E88" s="2" t="str">
        <f>IFERROR(_xlfn.XLOOKUP(tblSorties[[#This Row],[Machine]], tblmachines[ID_Machine], tblmachines[Client]), "")</f>
        <v>STORY NIMES</v>
      </c>
      <c r="F88" s="2" t="s">
        <v>345</v>
      </c>
      <c r="G88" s="2" t="s">
        <v>320</v>
      </c>
      <c r="H88" s="2" t="s">
        <v>4</v>
      </c>
      <c r="I88">
        <v>1</v>
      </c>
      <c r="J88" s="4" t="str">
        <f>tblSorties[[#This Row],[Modele]]&amp;"|"&amp;tblSorties[[#This Row],[Référence]]&amp;"|"&amp;tblSorties[[#This Row],[Couleur]]&amp;"|"&amp;tblSorties[[#This Row],[Type_Toner]]</f>
        <v>MF3302|B1353|K|Original</v>
      </c>
      <c r="K88" s="2">
        <f>_xlfn.XLOOKUP(tblSorties[[#This Row],[Cleprix]], tblprix[ClePrix], tblprix[Prix achat HT])</f>
        <v>47</v>
      </c>
      <c r="L88" s="2">
        <f>tblSorties[[#This Row],[Quantité]]*tblSorties[[#This Row],[Prix_Unitaire]]</f>
        <v>47</v>
      </c>
    </row>
    <row r="89" spans="1:12" x14ac:dyDescent="0.25">
      <c r="A89" s="3">
        <v>46022</v>
      </c>
      <c r="B89" s="3" t="str">
        <f>TEXT(tblSorties[[#This Row],[Date]],"aaaa-mm")</f>
        <v>2025-12</v>
      </c>
      <c r="C89" s="3" t="s">
        <v>293</v>
      </c>
      <c r="D89" s="2" t="str">
        <f>IFERROR(_xlfn.XLOOKUP(TRIM(tblSorties[[#This Row],[Machine]]),tblmachines[ID_Machine],tblmachines[Modèle]),"")</f>
        <v>MF3302</v>
      </c>
      <c r="E89" s="2" t="str">
        <f>IFERROR(_xlfn.XLOOKUP(tblSorties[[#This Row],[Machine]], tblmachines[ID_Machine], tblmachines[Client]), "")</f>
        <v>STORY NIMES</v>
      </c>
      <c r="F89" s="2" t="s">
        <v>479</v>
      </c>
      <c r="G89" s="2" t="s">
        <v>322</v>
      </c>
      <c r="H89" s="2" t="s">
        <v>4</v>
      </c>
      <c r="I89">
        <v>1</v>
      </c>
      <c r="J89" s="4" t="str">
        <f>tblSorties[[#This Row],[Modele]]&amp;"|"&amp;tblSorties[[#This Row],[Référence]]&amp;"|"&amp;tblSorties[[#This Row],[Couleur]]&amp;"|"&amp;tblSorties[[#This Row],[Type_Toner]]</f>
        <v>MF3302|B135|C|Original</v>
      </c>
      <c r="K89" s="2">
        <f>_xlfn.XLOOKUP(tblSorties[[#This Row],[Cleprix]], tblprix[ClePrix], tblprix[Prix achat HT])</f>
        <v>49</v>
      </c>
      <c r="L89" s="2">
        <f>tblSorties[[#This Row],[Quantité]]*tblSorties[[#This Row],[Prix_Unitaire]]</f>
        <v>49</v>
      </c>
    </row>
    <row r="90" spans="1:12" x14ac:dyDescent="0.25">
      <c r="A90" s="3">
        <v>46022</v>
      </c>
      <c r="B90" s="3" t="str">
        <f>TEXT(tblSorties[[#This Row],[Date]],"aaaa-mm")</f>
        <v>2025-12</v>
      </c>
      <c r="C90" s="3" t="s">
        <v>293</v>
      </c>
      <c r="D90" s="2" t="str">
        <f>IFERROR(_xlfn.XLOOKUP(TRIM(tblSorties[[#This Row],[Machine]]),tblmachines[ID_Machine],tblmachines[Modèle]),"")</f>
        <v>MF3302</v>
      </c>
      <c r="E90" s="2" t="str">
        <f>IFERROR(_xlfn.XLOOKUP(tblSorties[[#This Row],[Machine]], tblmachines[ID_Machine], tblmachines[Client]), "")</f>
        <v>STORY NIMES</v>
      </c>
      <c r="F90" s="2" t="s">
        <v>479</v>
      </c>
      <c r="G90" s="2" t="s">
        <v>323</v>
      </c>
      <c r="H90" s="2" t="s">
        <v>4</v>
      </c>
      <c r="I90">
        <v>1</v>
      </c>
      <c r="J90" s="4" t="str">
        <f>tblSorties[[#This Row],[Modele]]&amp;"|"&amp;tblSorties[[#This Row],[Référence]]&amp;"|"&amp;tblSorties[[#This Row],[Couleur]]&amp;"|"&amp;tblSorties[[#This Row],[Type_Toner]]</f>
        <v>MF3302|B135|M|Original</v>
      </c>
      <c r="K90" s="2">
        <f>_xlfn.XLOOKUP(tblSorties[[#This Row],[Cleprix]], tblprix[ClePrix], tblprix[Prix achat HT])</f>
        <v>49</v>
      </c>
      <c r="L90" s="2">
        <f>tblSorties[[#This Row],[Quantité]]*tblSorties[[#This Row],[Prix_Unitaire]]</f>
        <v>49</v>
      </c>
    </row>
    <row r="91" spans="1:12" x14ac:dyDescent="0.25">
      <c r="A91" s="3">
        <v>46022</v>
      </c>
      <c r="B91" s="3" t="str">
        <f>TEXT(tblSorties[[#This Row],[Date]],"aaaa-mm")</f>
        <v>2025-12</v>
      </c>
      <c r="C91" s="3" t="s">
        <v>293</v>
      </c>
      <c r="D91" s="2" t="str">
        <f>IFERROR(_xlfn.XLOOKUP(TRIM(tblSorties[[#This Row],[Machine]]),tblmachines[ID_Machine],tblmachines[Modèle]),"")</f>
        <v>MF3302</v>
      </c>
      <c r="E91" s="2" t="str">
        <f>IFERROR(_xlfn.XLOOKUP(tblSorties[[#This Row],[Machine]], tblmachines[ID_Machine], tblmachines[Client]), "")</f>
        <v>STORY NIMES</v>
      </c>
      <c r="F91" s="2" t="s">
        <v>346</v>
      </c>
      <c r="G91" s="2" t="s">
        <v>324</v>
      </c>
      <c r="H91" s="2" t="s">
        <v>4</v>
      </c>
      <c r="I91">
        <v>1</v>
      </c>
      <c r="J91" s="4" t="str">
        <f>tblSorties[[#This Row],[Modele]]&amp;"|"&amp;tblSorties[[#This Row],[Référence]]&amp;"|"&amp;tblSorties[[#This Row],[Couleur]]&amp;"|"&amp;tblSorties[[#This Row],[Type_Toner]]</f>
        <v>MF3302|B1355|Y|Original</v>
      </c>
      <c r="K91" s="2">
        <f>_xlfn.XLOOKUP(tblSorties[[#This Row],[Cleprix]], tblprix[ClePrix], tblprix[Prix achat HT])</f>
        <v>42.53</v>
      </c>
      <c r="L91" s="2">
        <f>tblSorties[[#This Row],[Quantité]]*tblSorties[[#This Row],[Prix_Unitaire]]</f>
        <v>42.53</v>
      </c>
    </row>
    <row r="92" spans="1:12" x14ac:dyDescent="0.25">
      <c r="A92" s="3">
        <v>46022</v>
      </c>
      <c r="B92" s="3" t="str">
        <f>TEXT(tblSorties[[#This Row],[Date]],"aaaa-mm")</f>
        <v>2025-12</v>
      </c>
      <c r="C92" s="3" t="s">
        <v>296</v>
      </c>
      <c r="D92" s="2" t="str">
        <f>IFERROR(_xlfn.XLOOKUP(TRIM(tblSorties[[#This Row],[Machine]]),tblmachines[ID_Machine],tblmachines[Modèle]),"")</f>
        <v>MF3302</v>
      </c>
      <c r="E92" s="2" t="str">
        <f>IFERROR(_xlfn.XLOOKUP(tblSorties[[#This Row],[Machine]], tblmachines[ID_Machine], tblmachines[Client]), "")</f>
        <v>STORY NIMES</v>
      </c>
      <c r="F92" s="2" t="s">
        <v>345</v>
      </c>
      <c r="G92" s="2" t="s">
        <v>320</v>
      </c>
      <c r="H92" s="2" t="s">
        <v>4</v>
      </c>
      <c r="I92">
        <v>1</v>
      </c>
      <c r="J92" s="4" t="str">
        <f>tblSorties[[#This Row],[Modele]]&amp;"|"&amp;tblSorties[[#This Row],[Référence]]&amp;"|"&amp;tblSorties[[#This Row],[Couleur]]&amp;"|"&amp;tblSorties[[#This Row],[Type_Toner]]</f>
        <v>MF3302|B1353|K|Original</v>
      </c>
      <c r="K92" s="2">
        <f>_xlfn.XLOOKUP(tblSorties[[#This Row],[Cleprix]], tblprix[ClePrix], tblprix[Prix achat HT])</f>
        <v>47</v>
      </c>
      <c r="L92" s="2">
        <f>tblSorties[[#This Row],[Quantité]]*tblSorties[[#This Row],[Prix_Unitaire]]</f>
        <v>47</v>
      </c>
    </row>
    <row r="93" spans="1:12" x14ac:dyDescent="0.25">
      <c r="A93" s="3">
        <v>46022</v>
      </c>
      <c r="B93" s="3" t="str">
        <f>TEXT(tblSorties[[#This Row],[Date]],"aaaa-mm")</f>
        <v>2025-12</v>
      </c>
      <c r="C93" s="3" t="s">
        <v>296</v>
      </c>
      <c r="D93" s="2" t="str">
        <f>IFERROR(_xlfn.XLOOKUP(TRIM(tblSorties[[#This Row],[Machine]]),tblmachines[ID_Machine],tblmachines[Modèle]),"")</f>
        <v>MF3302</v>
      </c>
      <c r="E93" s="2" t="str">
        <f>IFERROR(_xlfn.XLOOKUP(tblSorties[[#This Row],[Machine]], tblmachines[ID_Machine], tblmachines[Client]), "")</f>
        <v>STORY NIMES</v>
      </c>
      <c r="F93" s="2" t="s">
        <v>479</v>
      </c>
      <c r="G93" s="2" t="s">
        <v>322</v>
      </c>
      <c r="H93" s="2" t="s">
        <v>4</v>
      </c>
      <c r="I93">
        <v>1</v>
      </c>
      <c r="J93" s="4" t="str">
        <f>tblSorties[[#This Row],[Modele]]&amp;"|"&amp;tblSorties[[#This Row],[Référence]]&amp;"|"&amp;tblSorties[[#This Row],[Couleur]]&amp;"|"&amp;tblSorties[[#This Row],[Type_Toner]]</f>
        <v>MF3302|B135|C|Original</v>
      </c>
      <c r="K93" s="2">
        <f>_xlfn.XLOOKUP(tblSorties[[#This Row],[Cleprix]], tblprix[ClePrix], tblprix[Prix achat HT])</f>
        <v>49</v>
      </c>
      <c r="L93" s="2">
        <f>tblSorties[[#This Row],[Quantité]]*tblSorties[[#This Row],[Prix_Unitaire]]</f>
        <v>49</v>
      </c>
    </row>
    <row r="94" spans="1:12" x14ac:dyDescent="0.25">
      <c r="A94" s="3">
        <v>46022</v>
      </c>
      <c r="B94" s="3" t="str">
        <f>TEXT(tblSorties[[#This Row],[Date]],"aaaa-mm")</f>
        <v>2025-12</v>
      </c>
      <c r="C94" s="3" t="s">
        <v>296</v>
      </c>
      <c r="D94" s="2" t="str">
        <f>IFERROR(_xlfn.XLOOKUP(TRIM(tblSorties[[#This Row],[Machine]]),tblmachines[ID_Machine],tblmachines[Modèle]),"")</f>
        <v>MF3302</v>
      </c>
      <c r="E94" s="2" t="str">
        <f>IFERROR(_xlfn.XLOOKUP(tblSorties[[#This Row],[Machine]], tblmachines[ID_Machine], tblmachines[Client]), "")</f>
        <v>STORY NIMES</v>
      </c>
      <c r="F94" s="2" t="s">
        <v>479</v>
      </c>
      <c r="G94" s="2" t="s">
        <v>323</v>
      </c>
      <c r="H94" s="2" t="s">
        <v>4</v>
      </c>
      <c r="I94">
        <v>1</v>
      </c>
      <c r="J94" s="4" t="str">
        <f>tblSorties[[#This Row],[Modele]]&amp;"|"&amp;tblSorties[[#This Row],[Référence]]&amp;"|"&amp;tblSorties[[#This Row],[Couleur]]&amp;"|"&amp;tblSorties[[#This Row],[Type_Toner]]</f>
        <v>MF3302|B135|M|Original</v>
      </c>
      <c r="K94" s="2">
        <f>_xlfn.XLOOKUP(tblSorties[[#This Row],[Cleprix]], tblprix[ClePrix], tblprix[Prix achat HT])</f>
        <v>49</v>
      </c>
      <c r="L94" s="2">
        <f>tblSorties[[#This Row],[Quantité]]*tblSorties[[#This Row],[Prix_Unitaire]]</f>
        <v>49</v>
      </c>
    </row>
    <row r="95" spans="1:12" x14ac:dyDescent="0.25">
      <c r="A95" s="3">
        <v>46022</v>
      </c>
      <c r="B95" s="3" t="str">
        <f>TEXT(tblSorties[[#This Row],[Date]],"aaaa-mm")</f>
        <v>2025-12</v>
      </c>
      <c r="C95" s="3" t="s">
        <v>296</v>
      </c>
      <c r="D95" s="2" t="str">
        <f>IFERROR(_xlfn.XLOOKUP(TRIM(tblSorties[[#This Row],[Machine]]),tblmachines[ID_Machine],tblmachines[Modèle]),"")</f>
        <v>MF3302</v>
      </c>
      <c r="E95" s="2" t="str">
        <f>IFERROR(_xlfn.XLOOKUP(tblSorties[[#This Row],[Machine]], tblmachines[ID_Machine], tblmachines[Client]), "")</f>
        <v>STORY NIMES</v>
      </c>
      <c r="F95" s="2" t="s">
        <v>346</v>
      </c>
      <c r="G95" s="2" t="s">
        <v>324</v>
      </c>
      <c r="H95" s="2" t="s">
        <v>4</v>
      </c>
      <c r="I95">
        <v>1</v>
      </c>
      <c r="J95" s="4" t="str">
        <f>tblSorties[[#This Row],[Modele]]&amp;"|"&amp;tblSorties[[#This Row],[Référence]]&amp;"|"&amp;tblSorties[[#This Row],[Couleur]]&amp;"|"&amp;tblSorties[[#This Row],[Type_Toner]]</f>
        <v>MF3302|B1355|Y|Original</v>
      </c>
      <c r="K95" s="2">
        <f>_xlfn.XLOOKUP(tblSorties[[#This Row],[Cleprix]], tblprix[ClePrix], tblprix[Prix achat HT])</f>
        <v>42.53</v>
      </c>
      <c r="L95" s="2">
        <f>tblSorties[[#This Row],[Quantité]]*tblSorties[[#This Row],[Prix_Unitaire]]</f>
        <v>42.53</v>
      </c>
    </row>
    <row r="96" spans="1:12" x14ac:dyDescent="0.25">
      <c r="A96" s="3">
        <v>46022</v>
      </c>
      <c r="B96" s="3" t="str">
        <f>TEXT(tblSorties[[#This Row],[Date]],"aaaa-mm")</f>
        <v>2025-12</v>
      </c>
      <c r="C96" s="3" t="s">
        <v>302</v>
      </c>
      <c r="D96" s="2" t="str">
        <f>IFERROR(_xlfn.XLOOKUP(TRIM(tblSorties[[#This Row],[Machine]]),tblmachines[ID_Machine],tblmachines[Modèle]),"")</f>
        <v>2552Ci/2553</v>
      </c>
      <c r="E96" s="2" t="str">
        <f>IFERROR(_xlfn.XLOOKUP(tblSorties[[#This Row],[Machine]], tblmachines[ID_Machine], tblmachines[Client]), "")</f>
        <v>SYNIA WIZZCOM</v>
      </c>
      <c r="F96" s="2" t="s">
        <v>386</v>
      </c>
      <c r="G96" s="2" t="s">
        <v>320</v>
      </c>
      <c r="H96" s="2" t="s">
        <v>5</v>
      </c>
      <c r="I96">
        <v>1</v>
      </c>
      <c r="J96" s="4" t="str">
        <f>tblSorties[[#This Row],[Modele]]&amp;"|"&amp;tblSorties[[#This Row],[Référence]]&amp;"|"&amp;tblSorties[[#This Row],[Couleur]]&amp;"|"&amp;tblSorties[[#This Row],[Type_Toner]]</f>
        <v>2552Ci/2553|TK8345K|K|Compatible</v>
      </c>
      <c r="K96" s="2">
        <f>_xlfn.XLOOKUP(tblSorties[[#This Row],[Cleprix]], tblprix[ClePrix], tblprix[Prix achat HT])</f>
        <v>33.4</v>
      </c>
      <c r="L96" s="2">
        <f>tblSorties[[#This Row],[Quantité]]*tblSorties[[#This Row],[Prix_Unitaire]]</f>
        <v>33.4</v>
      </c>
    </row>
    <row r="97" spans="1:12" x14ac:dyDescent="0.25">
      <c r="A97" s="3">
        <v>46022</v>
      </c>
      <c r="B97" s="3" t="str">
        <f>TEXT(tblSorties[[#This Row],[Date]],"aaaa-mm")</f>
        <v>2025-12</v>
      </c>
      <c r="C97" s="3" t="s">
        <v>189</v>
      </c>
      <c r="D97" s="2" t="str">
        <f>IFERROR(_xlfn.XLOOKUP(TRIM(tblSorties[[#This Row],[Machine]]),tblmachines[ID_Machine],tblmachines[Modèle]),"")</f>
        <v>2552Ci/2553</v>
      </c>
      <c r="E97" s="2" t="str">
        <f>IFERROR(_xlfn.XLOOKUP(tblSorties[[#This Row],[Machine]], tblmachines[ID_Machine], tblmachines[Client]), "")</f>
        <v>L'OULIVIE</v>
      </c>
      <c r="F97" s="2" t="s">
        <v>387</v>
      </c>
      <c r="G97" s="2" t="s">
        <v>322</v>
      </c>
      <c r="H97" s="2" t="s">
        <v>5</v>
      </c>
      <c r="I97">
        <v>1</v>
      </c>
      <c r="J97" s="4" t="str">
        <f>tblSorties[[#This Row],[Modele]]&amp;"|"&amp;tblSorties[[#This Row],[Référence]]&amp;"|"&amp;tblSorties[[#This Row],[Couleur]]&amp;"|"&amp;tblSorties[[#This Row],[Type_Toner]]</f>
        <v>2552Ci/2553|TK8345C|C|Compatible</v>
      </c>
      <c r="K97" s="2">
        <f>_xlfn.XLOOKUP(tblSorties[[#This Row],[Cleprix]], tblprix[ClePrix], tblprix[Prix achat HT])</f>
        <v>40.4</v>
      </c>
      <c r="L97" s="2">
        <f>tblSorties[[#This Row],[Quantité]]*tblSorties[[#This Row],[Prix_Unitaire]]</f>
        <v>40.4</v>
      </c>
    </row>
  </sheetData>
  <phoneticPr fontId="3" type="noConversion"/>
  <dataValidations count="1">
    <dataValidation type="list" allowBlank="1" sqref="H2:H97" xr:uid="{83374EC2-1911-40A5-84B5-5ECDC461F7EE}">
      <formula1>"Original,Compatible"</formula1>
    </dataValidation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C64B0-3DD2-4CC8-853B-C2D31E757DD1}">
  <dimension ref="A1:B51"/>
  <sheetViews>
    <sheetView workbookViewId="0">
      <selection activeCell="G11" sqref="G11"/>
    </sheetView>
  </sheetViews>
  <sheetFormatPr baseColWidth="10" defaultRowHeight="15" x14ac:dyDescent="0.25"/>
  <cols>
    <col min="1" max="1" width="44.7109375" bestFit="1" customWidth="1"/>
    <col min="2" max="2" width="20.5703125" bestFit="1" customWidth="1"/>
    <col min="3" max="3" width="7.5703125" bestFit="1" customWidth="1"/>
    <col min="4" max="4" width="9" bestFit="1" customWidth="1"/>
    <col min="5" max="8" width="7" bestFit="1" customWidth="1"/>
    <col min="9" max="9" width="8.28515625" bestFit="1" customWidth="1"/>
    <col min="10" max="10" width="9" bestFit="1" customWidth="1"/>
    <col min="11" max="12" width="7.7109375" bestFit="1" customWidth="1"/>
    <col min="13" max="13" width="8.42578125" bestFit="1" customWidth="1"/>
    <col min="14" max="14" width="7.7109375" bestFit="1" customWidth="1"/>
    <col min="15" max="17" width="7.5703125" bestFit="1" customWidth="1"/>
    <col min="18" max="19" width="8.28515625" bestFit="1" customWidth="1"/>
    <col min="20" max="20" width="7.5703125" bestFit="1" customWidth="1"/>
    <col min="21" max="21" width="8.42578125" bestFit="1" customWidth="1"/>
    <col min="22" max="22" width="6.140625" bestFit="1" customWidth="1"/>
    <col min="23" max="25" width="8.28515625" bestFit="1" customWidth="1"/>
    <col min="26" max="26" width="9" bestFit="1" customWidth="1"/>
    <col min="27" max="27" width="7.5703125" bestFit="1" customWidth="1"/>
    <col min="28" max="30" width="7.7109375" bestFit="1" customWidth="1"/>
    <col min="31" max="33" width="8.28515625" bestFit="1" customWidth="1"/>
    <col min="34" max="34" width="6.140625" bestFit="1" customWidth="1"/>
    <col min="35" max="35" width="5.140625" bestFit="1" customWidth="1"/>
    <col min="36" max="36" width="7" bestFit="1" customWidth="1"/>
    <col min="37" max="37" width="7.5703125" bestFit="1" customWidth="1"/>
    <col min="38" max="38" width="9" bestFit="1" customWidth="1"/>
    <col min="39" max="43" width="8.28515625" bestFit="1" customWidth="1"/>
    <col min="44" max="44" width="9" bestFit="1" customWidth="1"/>
    <col min="45" max="45" width="8.28515625" bestFit="1" customWidth="1"/>
    <col min="46" max="46" width="9" bestFit="1" customWidth="1"/>
    <col min="47" max="48" width="8.28515625" bestFit="1" customWidth="1"/>
    <col min="49" max="49" width="12.5703125" bestFit="1" customWidth="1"/>
  </cols>
  <sheetData>
    <row r="1" spans="1:2" x14ac:dyDescent="0.25">
      <c r="A1" s="15" t="s">
        <v>477</v>
      </c>
      <c r="B1" t="s">
        <v>514</v>
      </c>
    </row>
    <row r="3" spans="1:2" x14ac:dyDescent="0.25">
      <c r="A3" s="15" t="s">
        <v>474</v>
      </c>
      <c r="B3" t="s">
        <v>476</v>
      </c>
    </row>
    <row r="4" spans="1:2" x14ac:dyDescent="0.25">
      <c r="A4" s="16"/>
      <c r="B4" t="e">
        <v>#N/A</v>
      </c>
    </row>
    <row r="5" spans="1:2" x14ac:dyDescent="0.25">
      <c r="A5" s="16" t="s">
        <v>27</v>
      </c>
      <c r="B5">
        <v>336.04</v>
      </c>
    </row>
    <row r="6" spans="1:2" x14ac:dyDescent="0.25">
      <c r="A6" s="16" t="s">
        <v>175</v>
      </c>
      <c r="B6">
        <v>26</v>
      </c>
    </row>
    <row r="7" spans="1:2" x14ac:dyDescent="0.25">
      <c r="A7" s="16" t="s">
        <v>51</v>
      </c>
      <c r="B7">
        <v>133.59</v>
      </c>
    </row>
    <row r="8" spans="1:2" x14ac:dyDescent="0.25">
      <c r="A8" s="16" t="s">
        <v>136</v>
      </c>
      <c r="B8">
        <v>189.9</v>
      </c>
    </row>
    <row r="9" spans="1:2" x14ac:dyDescent="0.25">
      <c r="A9" s="16" t="s">
        <v>140</v>
      </c>
      <c r="B9">
        <v>378.55000000000007</v>
      </c>
    </row>
    <row r="10" spans="1:2" x14ac:dyDescent="0.25">
      <c r="A10" s="16" t="s">
        <v>143</v>
      </c>
      <c r="B10">
        <v>256.66000000000003</v>
      </c>
    </row>
    <row r="11" spans="1:2" x14ac:dyDescent="0.25">
      <c r="A11" s="16" t="s">
        <v>151</v>
      </c>
      <c r="B11">
        <v>317.33000000000004</v>
      </c>
    </row>
    <row r="12" spans="1:2" x14ac:dyDescent="0.25">
      <c r="A12" s="16" t="s">
        <v>154</v>
      </c>
      <c r="B12">
        <v>473.05000000000007</v>
      </c>
    </row>
    <row r="13" spans="1:2" x14ac:dyDescent="0.25">
      <c r="A13" s="16" t="s">
        <v>459</v>
      </c>
      <c r="B13">
        <v>378.55000000000007</v>
      </c>
    </row>
    <row r="14" spans="1:2" x14ac:dyDescent="0.25">
      <c r="A14" s="16" t="s">
        <v>22</v>
      </c>
      <c r="B14">
        <v>975.06000000000006</v>
      </c>
    </row>
    <row r="15" spans="1:2" x14ac:dyDescent="0.25">
      <c r="A15" s="16" t="s">
        <v>251</v>
      </c>
      <c r="B15">
        <v>88.13</v>
      </c>
    </row>
    <row r="16" spans="1:2" x14ac:dyDescent="0.25">
      <c r="A16" s="16" t="s">
        <v>282</v>
      </c>
      <c r="B16">
        <v>307.69</v>
      </c>
    </row>
    <row r="17" spans="1:2" x14ac:dyDescent="0.25">
      <c r="A17" s="16" t="s">
        <v>315</v>
      </c>
      <c r="B17">
        <v>43.3</v>
      </c>
    </row>
    <row r="18" spans="1:2" x14ac:dyDescent="0.25">
      <c r="A18" s="16" t="s">
        <v>84</v>
      </c>
      <c r="B18">
        <v>495.53000000000003</v>
      </c>
    </row>
    <row r="19" spans="1:2" x14ac:dyDescent="0.25">
      <c r="A19" s="16" t="s">
        <v>464</v>
      </c>
      <c r="B19">
        <v>38.409999999999997</v>
      </c>
    </row>
    <row r="20" spans="1:2" x14ac:dyDescent="0.25">
      <c r="A20" s="16" t="s">
        <v>56</v>
      </c>
      <c r="B20">
        <v>40</v>
      </c>
    </row>
    <row r="21" spans="1:2" x14ac:dyDescent="0.25">
      <c r="A21" s="16" t="s">
        <v>63</v>
      </c>
      <c r="B21">
        <v>53.6</v>
      </c>
    </row>
    <row r="22" spans="1:2" x14ac:dyDescent="0.25">
      <c r="A22" s="16" t="s">
        <v>515</v>
      </c>
      <c r="B22">
        <v>114.2</v>
      </c>
    </row>
    <row r="23" spans="1:2" x14ac:dyDescent="0.25">
      <c r="A23" s="16" t="s">
        <v>171</v>
      </c>
      <c r="B23">
        <v>128.6</v>
      </c>
    </row>
    <row r="24" spans="1:2" x14ac:dyDescent="0.25">
      <c r="A24" s="16" t="s">
        <v>216</v>
      </c>
      <c r="B24">
        <v>480.90000000000003</v>
      </c>
    </row>
    <row r="25" spans="1:2" x14ac:dyDescent="0.25">
      <c r="A25" s="16" t="s">
        <v>225</v>
      </c>
      <c r="B25">
        <v>53.6</v>
      </c>
    </row>
    <row r="26" spans="1:2" x14ac:dyDescent="0.25">
      <c r="A26" s="16" t="s">
        <v>257</v>
      </c>
      <c r="B26">
        <v>107.2</v>
      </c>
    </row>
    <row r="27" spans="1:2" x14ac:dyDescent="0.25">
      <c r="A27" s="16" t="s">
        <v>298</v>
      </c>
      <c r="B27">
        <v>30.3</v>
      </c>
    </row>
    <row r="28" spans="1:2" x14ac:dyDescent="0.25">
      <c r="A28" s="16" t="s">
        <v>301</v>
      </c>
      <c r="B28">
        <v>30.3</v>
      </c>
    </row>
    <row r="29" spans="1:2" x14ac:dyDescent="0.25">
      <c r="A29" s="16" t="s">
        <v>133</v>
      </c>
      <c r="B29">
        <v>192.48000000000002</v>
      </c>
    </row>
    <row r="30" spans="1:2" x14ac:dyDescent="0.25">
      <c r="A30" s="16" t="s">
        <v>183</v>
      </c>
      <c r="B30">
        <v>79</v>
      </c>
    </row>
    <row r="31" spans="1:2" x14ac:dyDescent="0.25">
      <c r="A31" s="16" t="s">
        <v>245</v>
      </c>
      <c r="B31">
        <v>118.5</v>
      </c>
    </row>
    <row r="32" spans="1:2" x14ac:dyDescent="0.25">
      <c r="A32" s="16" t="s">
        <v>272</v>
      </c>
      <c r="B32">
        <v>39.5</v>
      </c>
    </row>
    <row r="33" spans="1:2" x14ac:dyDescent="0.25">
      <c r="A33" s="16" t="s">
        <v>186</v>
      </c>
      <c r="B33">
        <v>138.53</v>
      </c>
    </row>
    <row r="34" spans="1:2" x14ac:dyDescent="0.25">
      <c r="A34" s="16" t="s">
        <v>15</v>
      </c>
      <c r="B34">
        <v>38.5</v>
      </c>
    </row>
    <row r="35" spans="1:2" x14ac:dyDescent="0.25">
      <c r="A35" s="16" t="s">
        <v>40</v>
      </c>
      <c r="B35">
        <v>47.6</v>
      </c>
    </row>
    <row r="36" spans="1:2" x14ac:dyDescent="0.25">
      <c r="A36" s="16" t="s">
        <v>108</v>
      </c>
      <c r="B36">
        <v>38.409999999999997</v>
      </c>
    </row>
    <row r="37" spans="1:2" x14ac:dyDescent="0.25">
      <c r="A37" s="16" t="s">
        <v>196</v>
      </c>
      <c r="B37">
        <v>137.75</v>
      </c>
    </row>
    <row r="38" spans="1:2" x14ac:dyDescent="0.25">
      <c r="A38" s="16" t="s">
        <v>242</v>
      </c>
      <c r="B38">
        <v>36.5</v>
      </c>
    </row>
    <row r="39" spans="1:2" x14ac:dyDescent="0.25">
      <c r="A39" s="16" t="s">
        <v>285</v>
      </c>
      <c r="B39">
        <v>121.19999999999999</v>
      </c>
    </row>
    <row r="40" spans="1:2" x14ac:dyDescent="0.25">
      <c r="A40" s="16" t="s">
        <v>294</v>
      </c>
      <c r="B40">
        <v>375.05999999999995</v>
      </c>
    </row>
    <row r="41" spans="1:2" x14ac:dyDescent="0.25">
      <c r="A41" s="16" t="s">
        <v>303</v>
      </c>
      <c r="B41">
        <v>33.4</v>
      </c>
    </row>
    <row r="42" spans="1:2" x14ac:dyDescent="0.25">
      <c r="A42" s="16" t="s">
        <v>190</v>
      </c>
      <c r="B42">
        <v>40.4</v>
      </c>
    </row>
    <row r="43" spans="1:2" x14ac:dyDescent="0.25">
      <c r="A43" s="16" t="s">
        <v>47</v>
      </c>
      <c r="B43">
        <v>62</v>
      </c>
    </row>
    <row r="44" spans="1:2" x14ac:dyDescent="0.25">
      <c r="A44" s="16" t="s">
        <v>511</v>
      </c>
      <c r="B44">
        <v>46.6</v>
      </c>
    </row>
    <row r="45" spans="1:2" x14ac:dyDescent="0.25">
      <c r="A45" s="16" t="s">
        <v>260</v>
      </c>
      <c r="B45">
        <v>37.35</v>
      </c>
    </row>
    <row r="46" spans="1:2" x14ac:dyDescent="0.25">
      <c r="A46" s="16" t="s">
        <v>70</v>
      </c>
      <c r="B46">
        <v>290.22000000000003</v>
      </c>
    </row>
    <row r="47" spans="1:2" x14ac:dyDescent="0.25">
      <c r="A47" s="16" t="s">
        <v>130</v>
      </c>
      <c r="B47">
        <v>23.75</v>
      </c>
    </row>
    <row r="48" spans="1:2" x14ac:dyDescent="0.25">
      <c r="A48" s="16" t="s">
        <v>199</v>
      </c>
      <c r="B48">
        <v>67.11</v>
      </c>
    </row>
    <row r="49" spans="1:2" x14ac:dyDescent="0.25">
      <c r="A49" s="16" t="s">
        <v>228</v>
      </c>
      <c r="B49">
        <v>214.75</v>
      </c>
    </row>
    <row r="50" spans="1:2" x14ac:dyDescent="0.25">
      <c r="A50" s="16" t="s">
        <v>516</v>
      </c>
      <c r="B50" t="e">
        <v>#N/A</v>
      </c>
    </row>
    <row r="51" spans="1:2" x14ac:dyDescent="0.25">
      <c r="A51" s="16" t="s">
        <v>475</v>
      </c>
      <c r="B51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Toners_Prix</vt:lpstr>
      <vt:lpstr>Toner Stock</vt:lpstr>
      <vt:lpstr>Machines</vt:lpstr>
      <vt:lpstr>Mouvements_Sorties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Administratif YCP Gestion</cp:lastModifiedBy>
  <dcterms:created xsi:type="dcterms:W3CDTF">2025-12-30T15:45:18Z</dcterms:created>
  <dcterms:modified xsi:type="dcterms:W3CDTF">2026-03-06T17:46:23Z</dcterms:modified>
</cp:coreProperties>
</file>